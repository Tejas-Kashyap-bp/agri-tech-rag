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GOA\"/>
    </mc:Choice>
  </mc:AlternateContent>
  <xr:revisionPtr revIDLastSave="0" documentId="13_ncr:1_{7E6AC288-D1F1-4A64-88A8-5EEDC3594E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24" i="1"/>
  <c r="I26" i="1"/>
  <c r="I28" i="1"/>
  <c r="C13" i="1"/>
  <c r="C22" i="1" s="1"/>
  <c r="C30" i="1" s="1"/>
  <c r="D13" i="1"/>
  <c r="D22" i="1" s="1"/>
  <c r="D30" i="1" s="1"/>
  <c r="C15" i="1"/>
  <c r="C24" i="1" s="1"/>
  <c r="C32" i="1" s="1"/>
  <c r="D15" i="1"/>
  <c r="D24" i="1" s="1"/>
  <c r="D32" i="1" s="1"/>
  <c r="C17" i="1"/>
  <c r="C26" i="1" s="1"/>
  <c r="C34" i="1" s="1"/>
  <c r="C50" i="1" s="1"/>
  <c r="C58" i="1" s="1"/>
  <c r="C66" i="1" s="1"/>
  <c r="C74" i="1" s="1"/>
  <c r="D17" i="1"/>
  <c r="D26" i="1" s="1"/>
  <c r="D34" i="1" s="1"/>
  <c r="C19" i="1"/>
  <c r="C28" i="1" s="1"/>
  <c r="C36" i="1" s="1"/>
  <c r="C44" i="1" s="1"/>
  <c r="D19" i="1"/>
  <c r="D28" i="1" s="1"/>
  <c r="D36" i="1" s="1"/>
  <c r="D44" i="1" s="1"/>
  <c r="G4" i="1"/>
  <c r="H4" i="1"/>
  <c r="C82" i="1" l="1"/>
  <c r="D52" i="1"/>
  <c r="C52" i="1"/>
  <c r="D60" i="1"/>
  <c r="D68" i="1" s="1"/>
  <c r="C60" i="1"/>
  <c r="C68" i="1" s="1"/>
  <c r="D40" i="1"/>
  <c r="D48" i="1" s="1"/>
  <c r="D56" i="1" s="1"/>
  <c r="D64" i="1" s="1"/>
  <c r="D38" i="1"/>
  <c r="D46" i="1" s="1"/>
  <c r="D54" i="1" s="1"/>
  <c r="D62" i="1" s="1"/>
  <c r="D42" i="1"/>
  <c r="D50" i="1" s="1"/>
  <c r="D58" i="1" s="1"/>
  <c r="D66" i="1" s="1"/>
  <c r="C42" i="1"/>
  <c r="C38" i="1"/>
  <c r="C46" i="1"/>
  <c r="C54" i="1" s="1"/>
  <c r="C62" i="1" s="1"/>
  <c r="C48" i="1"/>
  <c r="C56" i="1" s="1"/>
  <c r="C64" i="1" s="1"/>
  <c r="C40" i="1"/>
  <c r="C72" i="1" l="1"/>
  <c r="C80" i="1"/>
  <c r="C78" i="1"/>
  <c r="C70" i="1"/>
  <c r="D74" i="1"/>
  <c r="D82" i="1"/>
  <c r="D78" i="1"/>
  <c r="D70" i="1"/>
  <c r="D80" i="1"/>
  <c r="D72" i="1"/>
  <c r="C76" i="1"/>
  <c r="C84" i="1"/>
  <c r="D76" i="1"/>
  <c r="D84" i="1"/>
</calcChain>
</file>

<file path=xl/sharedStrings.xml><?xml version="1.0" encoding="utf-8"?>
<sst xmlns="http://schemas.openxmlformats.org/spreadsheetml/2006/main" count="65" uniqueCount="33">
  <si>
    <t>Crop</t>
  </si>
  <si>
    <t>Crop Age (Days)</t>
  </si>
  <si>
    <t>Stage</t>
  </si>
  <si>
    <t>Temp</t>
  </si>
  <si>
    <t>Min</t>
  </si>
  <si>
    <t>Max</t>
  </si>
  <si>
    <t>Humidity %</t>
  </si>
  <si>
    <t>Duration (hrs)</t>
  </si>
  <si>
    <t>Risk %</t>
  </si>
  <si>
    <t>vegetative</t>
  </si>
  <si>
    <t>Insect/Pest name</t>
  </si>
  <si>
    <t>Thrips</t>
  </si>
  <si>
    <t>Apple</t>
  </si>
  <si>
    <t>March-10 April</t>
  </si>
  <si>
    <t>11 April- 10 May</t>
  </si>
  <si>
    <t>Fruiting Stage</t>
  </si>
  <si>
    <t xml:space="preserve">flowering </t>
  </si>
  <si>
    <t>harvesting stage</t>
  </si>
  <si>
    <t>11 May- 15 Aug</t>
  </si>
  <si>
    <t>16 Aug-Nov</t>
  </si>
  <si>
    <t>San Jose Scale</t>
  </si>
  <si>
    <t>Woolly Apple Aphid</t>
  </si>
  <si>
    <t>European Red Mite</t>
  </si>
  <si>
    <t>Codling Moth</t>
  </si>
  <si>
    <t>Apple Leaf Miner</t>
  </si>
  <si>
    <t>Apple Stem Borer</t>
  </si>
  <si>
    <t>Aphids / Green Apple Aphid</t>
  </si>
  <si>
    <t>Tent Caterpillar / Defoliating Caterpillar</t>
  </si>
  <si>
    <t>Fruit Fly</t>
  </si>
  <si>
    <t>6--8</t>
  </si>
  <si>
    <t>6--10</t>
  </si>
  <si>
    <t>8--12</t>
  </si>
  <si>
    <t>4--6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</si>
</sst>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4" fillId="2" borderId="0" xfId="0" applyFont="1" applyFill="1"/>
    <xf numFmtId="0" fontId="5" fillId="0" borderId="0" xfId="0" applyFont="1"/>
    <xf numFmtId="0" fontId="5" fillId="3" borderId="0" xfId="0" applyFont="1" applyFill="1"/>
    <xf numFmtId="0" fontId="5" fillId="2" borderId="0" xfId="0" applyFont="1" applyFill="1"/>
    <xf numFmtId="16" fontId="5" fillId="0" borderId="0" xfId="0" applyNumberFormat="1" applyFont="1"/>
    <xf numFmtId="0" fontId="6" fillId="0" borderId="0" xfId="0" applyFont="1"/>
    <xf numFmtId="17" fontId="5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602"/>
  <sheetViews>
    <sheetView tabSelected="1" topLeftCell="A5" workbookViewId="0">
      <selection activeCell="I86" sqref="I86"/>
    </sheetView>
  </sheetViews>
  <sheetFormatPr defaultRowHeight="14.5" x14ac:dyDescent="0.35"/>
  <cols>
    <col min="2" max="2" width="34.90625" customWidth="1"/>
    <col min="3" max="3" width="23.81640625" customWidth="1"/>
    <col min="4" max="4" width="26.7265625" customWidth="1"/>
    <col min="5" max="5" width="12" customWidth="1"/>
    <col min="9" max="9" width="18.54296875" customWidth="1"/>
  </cols>
  <sheetData>
    <row r="2" spans="2:15" ht="26" x14ac:dyDescent="0.6">
      <c r="H2" s="2" t="s">
        <v>0</v>
      </c>
      <c r="I2" s="2" t="s">
        <v>12</v>
      </c>
      <c r="J2" s="1"/>
    </row>
    <row r="3" spans="2:15" ht="21" x14ac:dyDescent="0.5">
      <c r="B3" s="3" t="s">
        <v>10</v>
      </c>
      <c r="C3" s="3" t="s">
        <v>1</v>
      </c>
      <c r="D3" s="3" t="s">
        <v>2</v>
      </c>
      <c r="E3" s="4" t="s">
        <v>3</v>
      </c>
      <c r="F3" s="4"/>
      <c r="G3" s="5" t="s">
        <v>6</v>
      </c>
      <c r="H3" s="5"/>
      <c r="I3" s="3" t="s">
        <v>7</v>
      </c>
      <c r="J3" s="6" t="s">
        <v>8</v>
      </c>
      <c r="K3" s="6"/>
    </row>
    <row r="4" spans="2:15" ht="21" x14ac:dyDescent="0.5">
      <c r="B4" s="6"/>
      <c r="C4" s="6"/>
      <c r="D4" s="6"/>
      <c r="E4" s="7" t="s">
        <v>4</v>
      </c>
      <c r="F4" s="7" t="s">
        <v>5</v>
      </c>
      <c r="G4" s="8" t="str">
        <f t="shared" ref="G4:H4" si="0">E4</f>
        <v>Min</v>
      </c>
      <c r="H4" s="8" t="str">
        <f t="shared" si="0"/>
        <v>Max</v>
      </c>
      <c r="I4" s="6"/>
      <c r="J4" s="6"/>
      <c r="K4" s="6"/>
      <c r="L4" s="6"/>
      <c r="M4" s="6"/>
      <c r="N4" s="6"/>
    </row>
    <row r="5" spans="2:15" ht="21" x14ac:dyDescent="0.5">
      <c r="B5" s="12" t="s">
        <v>20</v>
      </c>
      <c r="C5" s="11" t="s">
        <v>13</v>
      </c>
      <c r="D5" s="6" t="s">
        <v>9</v>
      </c>
      <c r="E5" s="6">
        <v>10</v>
      </c>
      <c r="F5" s="6">
        <v>20</v>
      </c>
      <c r="G5" s="6">
        <v>50</v>
      </c>
      <c r="H5" s="6">
        <v>80</v>
      </c>
      <c r="I5" s="9" t="s">
        <v>29</v>
      </c>
      <c r="J5" s="6">
        <v>50</v>
      </c>
      <c r="K5" s="6"/>
      <c r="L5" s="6"/>
      <c r="M5" s="6"/>
      <c r="N5" s="6"/>
      <c r="O5" s="6"/>
    </row>
    <row r="6" spans="2:15" ht="21" x14ac:dyDescent="0.5">
      <c r="B6" s="6"/>
      <c r="G6" s="6"/>
      <c r="H6" s="6"/>
      <c r="I6" s="6"/>
      <c r="J6" s="6"/>
      <c r="K6" s="6"/>
      <c r="L6" s="6"/>
      <c r="M6" s="6"/>
      <c r="N6" s="6"/>
      <c r="O6" s="6"/>
    </row>
    <row r="7" spans="2:15" ht="21" x14ac:dyDescent="0.5">
      <c r="B7" s="6"/>
      <c r="C7" s="6" t="s">
        <v>14</v>
      </c>
      <c r="D7" s="6" t="s">
        <v>16</v>
      </c>
      <c r="E7" s="6">
        <v>15</v>
      </c>
      <c r="F7" s="6">
        <v>25</v>
      </c>
      <c r="G7" s="6">
        <v>50</v>
      </c>
      <c r="H7" s="6">
        <v>85</v>
      </c>
      <c r="I7" s="9" t="s">
        <v>30</v>
      </c>
      <c r="J7" s="6">
        <v>65</v>
      </c>
      <c r="K7" s="6"/>
      <c r="L7" s="6"/>
      <c r="M7" s="6"/>
      <c r="N7" s="6"/>
      <c r="O7" s="6"/>
    </row>
    <row r="8" spans="2:15" ht="21" x14ac:dyDescent="0.5">
      <c r="B8" s="6"/>
      <c r="E8" s="6"/>
      <c r="F8" s="6"/>
      <c r="G8" s="6"/>
      <c r="H8" s="6"/>
      <c r="I8" s="9"/>
      <c r="J8" s="6"/>
      <c r="K8" s="6"/>
      <c r="L8" s="6"/>
      <c r="M8" s="6"/>
      <c r="N8" s="6"/>
      <c r="O8" s="6"/>
    </row>
    <row r="9" spans="2:15" ht="21" x14ac:dyDescent="0.5">
      <c r="B9" s="6"/>
      <c r="C9" s="6" t="s">
        <v>18</v>
      </c>
      <c r="D9" s="6" t="s">
        <v>15</v>
      </c>
      <c r="E9" s="6">
        <v>20</v>
      </c>
      <c r="F9" s="6">
        <v>30</v>
      </c>
      <c r="G9" s="6">
        <v>55</v>
      </c>
      <c r="H9" s="6">
        <v>85</v>
      </c>
      <c r="I9" s="9" t="s">
        <v>31</v>
      </c>
      <c r="J9" s="6">
        <v>80</v>
      </c>
      <c r="K9" s="6"/>
      <c r="L9" s="6"/>
      <c r="M9" s="6"/>
      <c r="N9" s="6"/>
      <c r="O9" s="6"/>
    </row>
    <row r="10" spans="2:15" ht="21" x14ac:dyDescent="0.5">
      <c r="B10" s="10"/>
      <c r="C10" s="6"/>
      <c r="D10" s="6"/>
      <c r="E10" s="6"/>
      <c r="F10" s="6"/>
      <c r="G10" s="6"/>
      <c r="H10" s="6"/>
      <c r="I10" s="9"/>
      <c r="J10" s="6"/>
      <c r="K10" s="6"/>
      <c r="L10" s="6"/>
      <c r="M10" s="6"/>
      <c r="N10" s="6"/>
      <c r="O10" s="6"/>
    </row>
    <row r="11" spans="2:15" ht="21" x14ac:dyDescent="0.5">
      <c r="B11" s="6"/>
      <c r="C11" s="6" t="s">
        <v>19</v>
      </c>
      <c r="D11" s="6" t="s">
        <v>17</v>
      </c>
      <c r="E11" s="6">
        <v>15</v>
      </c>
      <c r="F11" s="6">
        <v>28</v>
      </c>
      <c r="G11" s="6">
        <v>50</v>
      </c>
      <c r="H11" s="6">
        <v>80</v>
      </c>
      <c r="I11" s="6" t="s">
        <v>30</v>
      </c>
      <c r="J11" s="6">
        <v>70</v>
      </c>
      <c r="K11" s="6"/>
      <c r="L11" s="6"/>
      <c r="M11" s="6"/>
      <c r="N11" s="6"/>
      <c r="O11" s="6"/>
    </row>
    <row r="12" spans="2:15" ht="21" x14ac:dyDescent="0.5">
      <c r="B12" s="10"/>
      <c r="C12" s="6"/>
      <c r="D12" s="6"/>
      <c r="E12" s="6"/>
      <c r="F12" s="6"/>
      <c r="G12" s="6"/>
      <c r="H12" s="6"/>
      <c r="I12" s="9"/>
      <c r="J12" s="6"/>
      <c r="K12" s="6"/>
      <c r="L12" s="6"/>
      <c r="M12" s="6"/>
      <c r="N12" s="6"/>
      <c r="O12" s="6"/>
    </row>
    <row r="13" spans="2:15" ht="21" x14ac:dyDescent="0.5">
      <c r="B13" s="12" t="s">
        <v>21</v>
      </c>
      <c r="C13" s="6" t="str">
        <f t="shared" ref="C13:D13" si="1">C5</f>
        <v>March-10 April</v>
      </c>
      <c r="D13" s="6" t="str">
        <f t="shared" si="1"/>
        <v>vegetative</v>
      </c>
      <c r="E13" s="6">
        <v>10</v>
      </c>
      <c r="F13" s="6">
        <v>20</v>
      </c>
      <c r="G13" s="6">
        <v>50</v>
      </c>
      <c r="H13" s="6">
        <v>80</v>
      </c>
      <c r="I13" s="9" t="s">
        <v>29</v>
      </c>
      <c r="J13" s="6">
        <v>45</v>
      </c>
      <c r="K13" s="6"/>
      <c r="L13" s="6"/>
      <c r="M13" s="6"/>
      <c r="N13" s="6"/>
      <c r="O13" s="6"/>
    </row>
    <row r="14" spans="2:15" ht="21" x14ac:dyDescent="0.5">
      <c r="B14" s="6"/>
      <c r="C14" s="6"/>
      <c r="D14" s="6"/>
      <c r="G14" s="6"/>
      <c r="H14" s="6"/>
      <c r="I14" s="9"/>
      <c r="J14" s="6"/>
      <c r="K14" s="6"/>
      <c r="L14" s="6"/>
      <c r="M14" s="6"/>
      <c r="N14" s="6"/>
      <c r="O14" s="6"/>
    </row>
    <row r="15" spans="2:15" ht="21" x14ac:dyDescent="0.5">
      <c r="B15" s="6"/>
      <c r="C15" s="6" t="str">
        <f t="shared" ref="C15:D15" si="2">C7</f>
        <v>11 April- 10 May</v>
      </c>
      <c r="D15" s="6" t="str">
        <f t="shared" si="2"/>
        <v xml:space="preserve">flowering </v>
      </c>
      <c r="E15" s="6">
        <v>15</v>
      </c>
      <c r="F15" s="6">
        <v>25</v>
      </c>
      <c r="G15" s="6">
        <v>55</v>
      </c>
      <c r="H15" s="6">
        <v>85</v>
      </c>
      <c r="I15" s="9" t="s">
        <v>30</v>
      </c>
      <c r="J15" s="6">
        <v>65</v>
      </c>
      <c r="K15" s="6"/>
      <c r="L15" s="6"/>
      <c r="M15" s="6"/>
      <c r="N15" s="6"/>
      <c r="O15" s="6"/>
    </row>
    <row r="16" spans="2:15" ht="21" x14ac:dyDescent="0.5">
      <c r="B16" s="6"/>
      <c r="C16" s="6"/>
      <c r="D16" s="6"/>
      <c r="E16" s="6"/>
      <c r="F16" s="6"/>
      <c r="G16" s="6"/>
      <c r="H16" s="6"/>
      <c r="I16" s="9"/>
      <c r="J16" s="6"/>
      <c r="K16" s="6"/>
      <c r="L16" s="6"/>
      <c r="M16" s="6"/>
      <c r="N16" s="6"/>
      <c r="O16" s="6"/>
    </row>
    <row r="17" spans="2:15" ht="21" x14ac:dyDescent="0.5">
      <c r="B17" s="6"/>
      <c r="C17" s="6" t="str">
        <f t="shared" ref="C17:D17" si="3">C9</f>
        <v>11 May- 15 Aug</v>
      </c>
      <c r="D17" s="6" t="str">
        <f t="shared" si="3"/>
        <v>Fruiting Stage</v>
      </c>
      <c r="E17" s="6">
        <v>18</v>
      </c>
      <c r="F17" s="6">
        <v>28</v>
      </c>
      <c r="G17" s="6">
        <v>60</v>
      </c>
      <c r="H17" s="6">
        <v>90</v>
      </c>
      <c r="I17" s="9" t="s">
        <v>31</v>
      </c>
      <c r="J17" s="6">
        <v>80</v>
      </c>
      <c r="K17" s="6"/>
      <c r="L17" s="6"/>
      <c r="M17" s="6"/>
      <c r="N17" s="6"/>
      <c r="O17" s="6"/>
    </row>
    <row r="18" spans="2:15" ht="21" x14ac:dyDescent="0.5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2:15" ht="21" x14ac:dyDescent="0.5">
      <c r="B19" s="10"/>
      <c r="C19" s="6" t="str">
        <f t="shared" ref="C19:D19" si="4">C11</f>
        <v>16 Aug-Nov</v>
      </c>
      <c r="D19" s="6" t="str">
        <f t="shared" si="4"/>
        <v>harvesting stage</v>
      </c>
      <c r="E19" s="6">
        <v>12</v>
      </c>
      <c r="F19" s="6">
        <v>25</v>
      </c>
      <c r="G19" s="6">
        <v>55</v>
      </c>
      <c r="H19" s="6">
        <v>85</v>
      </c>
      <c r="I19" s="6" t="s">
        <v>30</v>
      </c>
      <c r="J19" s="6">
        <v>60</v>
      </c>
      <c r="K19" s="6"/>
      <c r="L19" s="6"/>
      <c r="M19" s="6"/>
      <c r="N19" s="6"/>
      <c r="O19" s="6"/>
    </row>
    <row r="20" spans="2:15" ht="21" x14ac:dyDescent="0.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2:15" ht="21" x14ac:dyDescent="0.5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2:15" ht="21" x14ac:dyDescent="0.5">
      <c r="B22" s="12" t="s">
        <v>22</v>
      </c>
      <c r="C22" s="6" t="str">
        <f>C13</f>
        <v>March-10 April</v>
      </c>
      <c r="D22" s="6" t="str">
        <f>D13</f>
        <v>vegetative</v>
      </c>
      <c r="E22" s="6">
        <v>10</v>
      </c>
      <c r="F22" s="6">
        <v>20</v>
      </c>
      <c r="G22" s="6">
        <v>40</v>
      </c>
      <c r="H22" s="6">
        <v>75</v>
      </c>
      <c r="I22" s="9" t="str">
        <f t="shared" ref="I22:I28" si="5">I13</f>
        <v>6--8</v>
      </c>
      <c r="J22" s="6">
        <v>40</v>
      </c>
      <c r="K22" s="6"/>
      <c r="L22" s="6"/>
      <c r="M22" s="6"/>
      <c r="N22" s="6"/>
      <c r="O22" s="6"/>
    </row>
    <row r="23" spans="2:15" ht="21" x14ac:dyDescent="0.5">
      <c r="B23" s="10"/>
      <c r="C23" s="6"/>
      <c r="D23" s="6"/>
      <c r="E23" s="6"/>
      <c r="F23" s="6"/>
      <c r="G23" s="6"/>
      <c r="H23" s="6"/>
      <c r="I23" s="9"/>
      <c r="J23" s="6"/>
      <c r="K23" s="6"/>
      <c r="L23" s="6"/>
      <c r="M23" s="6"/>
      <c r="N23" s="6"/>
      <c r="O23" s="6"/>
    </row>
    <row r="24" spans="2:15" ht="21" x14ac:dyDescent="0.5">
      <c r="B24" s="6"/>
      <c r="C24" s="6" t="str">
        <f>C15</f>
        <v>11 April- 10 May</v>
      </c>
      <c r="D24" s="6" t="str">
        <f>D15</f>
        <v xml:space="preserve">flowering </v>
      </c>
      <c r="E24" s="6">
        <v>15</v>
      </c>
      <c r="F24" s="6">
        <v>25</v>
      </c>
      <c r="G24" s="6">
        <v>40</v>
      </c>
      <c r="H24" s="6">
        <v>75</v>
      </c>
      <c r="I24" s="9" t="str">
        <f t="shared" si="5"/>
        <v>6--10</v>
      </c>
      <c r="J24" s="6">
        <v>55</v>
      </c>
      <c r="K24" s="6"/>
      <c r="L24" s="6"/>
      <c r="M24" s="6"/>
      <c r="N24" s="6"/>
      <c r="O24" s="6"/>
    </row>
    <row r="25" spans="2:15" ht="21" x14ac:dyDescent="0.5">
      <c r="B25" s="6"/>
      <c r="C25" s="6"/>
      <c r="D25" s="6"/>
      <c r="E25" s="6"/>
      <c r="F25" s="6"/>
      <c r="G25" s="6"/>
      <c r="H25" s="6"/>
      <c r="I25" s="9"/>
      <c r="J25" s="6"/>
      <c r="K25" s="6"/>
      <c r="L25" s="6"/>
      <c r="M25" s="6"/>
      <c r="N25" s="6"/>
      <c r="O25" s="6"/>
    </row>
    <row r="26" spans="2:15" ht="21" x14ac:dyDescent="0.5">
      <c r="B26" s="6"/>
      <c r="C26" s="6" t="str">
        <f>C17</f>
        <v>11 May- 15 Aug</v>
      </c>
      <c r="D26" s="6" t="str">
        <f>D17</f>
        <v>Fruiting Stage</v>
      </c>
      <c r="E26" s="6">
        <v>20</v>
      </c>
      <c r="F26" s="6">
        <v>32</v>
      </c>
      <c r="G26" s="6">
        <v>35</v>
      </c>
      <c r="H26" s="6">
        <v>70</v>
      </c>
      <c r="I26" s="9" t="str">
        <f t="shared" si="5"/>
        <v>8--12</v>
      </c>
      <c r="J26" s="6">
        <v>80</v>
      </c>
      <c r="K26" s="6"/>
      <c r="L26" s="6"/>
      <c r="M26" s="6"/>
      <c r="N26" s="6"/>
      <c r="O26" s="6"/>
    </row>
    <row r="27" spans="2:15" ht="21" x14ac:dyDescent="0.5">
      <c r="B27" s="6"/>
      <c r="C27" s="6"/>
      <c r="D27" s="6"/>
      <c r="E27" s="6"/>
      <c r="F27" s="6"/>
      <c r="G27" s="6"/>
      <c r="H27" s="6"/>
      <c r="I27" s="9"/>
      <c r="J27" s="6"/>
      <c r="K27" s="6"/>
      <c r="L27" s="6"/>
      <c r="M27" s="6"/>
      <c r="N27" s="6"/>
      <c r="O27" s="6"/>
    </row>
    <row r="28" spans="2:15" ht="21" x14ac:dyDescent="0.5">
      <c r="B28" s="6"/>
      <c r="C28" s="6" t="str">
        <f>C19</f>
        <v>16 Aug-Nov</v>
      </c>
      <c r="D28" s="6" t="str">
        <f>D19</f>
        <v>harvesting stage</v>
      </c>
      <c r="E28" s="6">
        <v>15</v>
      </c>
      <c r="F28" s="6">
        <v>28</v>
      </c>
      <c r="G28" s="6">
        <v>40</v>
      </c>
      <c r="H28" s="6">
        <v>75</v>
      </c>
      <c r="I28" s="9" t="str">
        <f t="shared" si="5"/>
        <v>6--10</v>
      </c>
      <c r="J28" s="6">
        <v>60</v>
      </c>
      <c r="K28" s="6"/>
      <c r="L28" s="6"/>
      <c r="M28" s="6"/>
      <c r="N28" s="6"/>
      <c r="O28" s="6"/>
    </row>
    <row r="29" spans="2:15" ht="21" x14ac:dyDescent="0.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2:15" ht="21" x14ac:dyDescent="0.5">
      <c r="B30" s="12" t="s">
        <v>23</v>
      </c>
      <c r="C30" s="6" t="str">
        <f t="shared" ref="C30:D36" si="6">C22</f>
        <v>March-10 April</v>
      </c>
      <c r="D30" s="6" t="str">
        <f t="shared" si="6"/>
        <v>vegetative</v>
      </c>
      <c r="E30" s="6">
        <v>8</v>
      </c>
      <c r="F30" s="6">
        <v>18</v>
      </c>
      <c r="G30" s="6">
        <v>45</v>
      </c>
      <c r="H30" s="6">
        <v>75</v>
      </c>
      <c r="I30" s="6" t="s">
        <v>32</v>
      </c>
      <c r="J30" s="6">
        <v>25</v>
      </c>
      <c r="K30" s="6"/>
      <c r="L30" s="6"/>
      <c r="M30" s="6"/>
      <c r="N30" s="6"/>
      <c r="O30" s="6"/>
    </row>
    <row r="31" spans="2:15" ht="21" x14ac:dyDescent="0.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2:15" ht="21" x14ac:dyDescent="0.5">
      <c r="B32" s="6"/>
      <c r="C32" s="6" t="str">
        <f t="shared" si="6"/>
        <v>11 April- 10 May</v>
      </c>
      <c r="D32" s="6" t="str">
        <f t="shared" si="6"/>
        <v xml:space="preserve">flowering </v>
      </c>
      <c r="E32" s="6">
        <v>12</v>
      </c>
      <c r="F32" s="6">
        <v>24</v>
      </c>
      <c r="G32" s="6">
        <v>45</v>
      </c>
      <c r="H32" s="6">
        <v>80</v>
      </c>
      <c r="I32" s="6" t="s">
        <v>29</v>
      </c>
      <c r="J32" s="6">
        <v>50</v>
      </c>
      <c r="K32" s="6"/>
      <c r="L32" s="6"/>
      <c r="M32" s="6"/>
      <c r="N32" s="6"/>
      <c r="O32" s="6"/>
    </row>
    <row r="33" spans="2:15" ht="21" x14ac:dyDescent="0.5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2:15" ht="21" x14ac:dyDescent="0.5">
      <c r="B34" s="6"/>
      <c r="C34" s="6" t="str">
        <f t="shared" si="6"/>
        <v>11 May- 15 Aug</v>
      </c>
      <c r="D34" s="6" t="str">
        <f t="shared" si="6"/>
        <v>Fruiting Stage</v>
      </c>
      <c r="E34" s="6">
        <v>18</v>
      </c>
      <c r="F34" s="6">
        <v>30</v>
      </c>
      <c r="G34" s="6">
        <v>50</v>
      </c>
      <c r="H34" s="6">
        <v>80</v>
      </c>
      <c r="I34" s="6" t="s">
        <v>31</v>
      </c>
      <c r="J34" s="6">
        <v>80</v>
      </c>
      <c r="K34" s="6"/>
      <c r="L34" s="6"/>
      <c r="M34" s="6"/>
      <c r="N34" s="6"/>
      <c r="O34" s="6"/>
    </row>
    <row r="35" spans="2:15" ht="21" x14ac:dyDescent="0.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2:15" ht="21" x14ac:dyDescent="0.5">
      <c r="B36" s="6"/>
      <c r="C36" s="6" t="str">
        <f t="shared" si="6"/>
        <v>16 Aug-Nov</v>
      </c>
      <c r="D36" s="6" t="str">
        <f t="shared" si="6"/>
        <v>harvesting stage</v>
      </c>
      <c r="E36" s="6">
        <v>15</v>
      </c>
      <c r="F36" s="6">
        <v>28</v>
      </c>
      <c r="G36" s="6">
        <v>45</v>
      </c>
      <c r="H36" s="6">
        <v>75</v>
      </c>
      <c r="I36" s="6" t="s">
        <v>30</v>
      </c>
      <c r="J36" s="6">
        <v>65</v>
      </c>
      <c r="K36" s="6"/>
      <c r="L36" s="6"/>
      <c r="M36" s="6"/>
      <c r="N36" s="6"/>
      <c r="O36" s="6"/>
    </row>
    <row r="37" spans="2:15" ht="21" x14ac:dyDescent="0.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2:15" ht="21" x14ac:dyDescent="0.5">
      <c r="B38" s="12" t="s">
        <v>24</v>
      </c>
      <c r="C38" s="6" t="str">
        <f>C30</f>
        <v>March-10 April</v>
      </c>
      <c r="D38" s="6" t="str">
        <f>D30</f>
        <v>vegetative</v>
      </c>
      <c r="E38" s="6">
        <v>10</v>
      </c>
      <c r="F38" s="6">
        <v>20</v>
      </c>
      <c r="G38" s="6">
        <v>50</v>
      </c>
      <c r="H38" s="6">
        <v>80</v>
      </c>
      <c r="I38" s="6" t="s">
        <v>29</v>
      </c>
      <c r="J38" s="6">
        <v>40</v>
      </c>
      <c r="K38" s="6"/>
      <c r="L38" s="6"/>
      <c r="M38" s="6"/>
      <c r="N38" s="6"/>
      <c r="O38" s="6"/>
    </row>
    <row r="39" spans="2:15" ht="21" x14ac:dyDescent="0.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2:15" ht="21" x14ac:dyDescent="0.5">
      <c r="B40" s="6"/>
      <c r="C40" s="6" t="str">
        <f>C32</f>
        <v>11 April- 10 May</v>
      </c>
      <c r="D40" s="6" t="str">
        <f>D32</f>
        <v xml:space="preserve">flowering </v>
      </c>
      <c r="E40" s="6">
        <v>15</v>
      </c>
      <c r="F40" s="6">
        <v>25</v>
      </c>
      <c r="G40" s="6">
        <v>50</v>
      </c>
      <c r="H40" s="6">
        <v>85</v>
      </c>
      <c r="I40" s="6" t="s">
        <v>30</v>
      </c>
      <c r="J40" s="6">
        <v>60</v>
      </c>
      <c r="K40" s="6"/>
      <c r="L40" s="6"/>
      <c r="M40" s="6"/>
      <c r="N40" s="6"/>
      <c r="O40" s="6"/>
    </row>
    <row r="41" spans="2:15" ht="21" x14ac:dyDescent="0.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2:15" ht="21" x14ac:dyDescent="0.5">
      <c r="B42" s="6"/>
      <c r="C42" s="6" t="str">
        <f>C34</f>
        <v>11 May- 15 Aug</v>
      </c>
      <c r="D42" s="6" t="str">
        <f>D34</f>
        <v>Fruiting Stage</v>
      </c>
      <c r="E42" s="6">
        <v>20</v>
      </c>
      <c r="F42" s="6">
        <v>30</v>
      </c>
      <c r="G42" s="6">
        <v>55</v>
      </c>
      <c r="H42" s="6">
        <v>85</v>
      </c>
      <c r="I42" s="6" t="s">
        <v>31</v>
      </c>
      <c r="J42" s="6">
        <v>75</v>
      </c>
      <c r="K42" s="6"/>
      <c r="L42" s="6"/>
      <c r="M42" s="6"/>
      <c r="N42" s="6"/>
      <c r="O42" s="6"/>
    </row>
    <row r="43" spans="2:15" ht="21" x14ac:dyDescent="0.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" x14ac:dyDescent="0.5">
      <c r="B44" s="6"/>
      <c r="C44" s="6" t="str">
        <f t="shared" ref="C44:D44" si="7">C36</f>
        <v>16 Aug-Nov</v>
      </c>
      <c r="D44" s="6" t="str">
        <f t="shared" si="7"/>
        <v>harvesting stage</v>
      </c>
      <c r="E44" s="6">
        <v>15</v>
      </c>
      <c r="F44" s="6">
        <v>28</v>
      </c>
      <c r="G44" s="6">
        <v>50</v>
      </c>
      <c r="H44" s="6">
        <v>85</v>
      </c>
      <c r="I44" s="6" t="s">
        <v>30</v>
      </c>
      <c r="J44" s="6">
        <v>55</v>
      </c>
      <c r="K44" s="6"/>
      <c r="L44" s="6"/>
      <c r="M44" s="6"/>
      <c r="N44" s="6"/>
      <c r="O44" s="6"/>
    </row>
    <row r="45" spans="2:15" ht="21" x14ac:dyDescent="0.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" x14ac:dyDescent="0.5">
      <c r="B46" s="12" t="s">
        <v>25</v>
      </c>
      <c r="C46" s="6" t="str">
        <f>C30</f>
        <v>March-10 April</v>
      </c>
      <c r="D46" s="6" t="str">
        <f>D38</f>
        <v>vegetative</v>
      </c>
      <c r="E46" s="6">
        <v>10</v>
      </c>
      <c r="F46" s="6">
        <v>20</v>
      </c>
      <c r="G46" s="6">
        <v>45</v>
      </c>
      <c r="H46" s="6">
        <v>75</v>
      </c>
      <c r="I46" s="6" t="s">
        <v>29</v>
      </c>
      <c r="J46" s="6">
        <v>30</v>
      </c>
      <c r="K46" s="6"/>
      <c r="L46" s="6"/>
      <c r="M46" s="6"/>
      <c r="N46" s="6"/>
      <c r="O46" s="6"/>
    </row>
    <row r="47" spans="2:15" ht="21" x14ac:dyDescent="0.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" x14ac:dyDescent="0.5">
      <c r="B48" s="6"/>
      <c r="C48" s="6" t="str">
        <f>C32</f>
        <v>11 April- 10 May</v>
      </c>
      <c r="D48" s="6" t="str">
        <f>D40</f>
        <v xml:space="preserve">flowering </v>
      </c>
      <c r="E48" s="6">
        <v>15</v>
      </c>
      <c r="F48" s="6">
        <v>25</v>
      </c>
      <c r="G48" s="6">
        <v>45</v>
      </c>
      <c r="H48" s="6">
        <v>80</v>
      </c>
      <c r="I48" s="6" t="s">
        <v>30</v>
      </c>
      <c r="J48" s="6">
        <v>45</v>
      </c>
      <c r="K48" s="6"/>
      <c r="L48" s="6"/>
      <c r="M48" s="6"/>
      <c r="N48" s="6"/>
      <c r="O48" s="6"/>
    </row>
    <row r="49" spans="2:15" ht="21" x14ac:dyDescent="0.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" x14ac:dyDescent="0.5">
      <c r="B50" s="6"/>
      <c r="C50" s="6" t="str">
        <f>C34</f>
        <v>11 May- 15 Aug</v>
      </c>
      <c r="D50" s="6" t="str">
        <f>D42</f>
        <v>Fruiting Stage</v>
      </c>
      <c r="E50" s="6">
        <v>20</v>
      </c>
      <c r="F50" s="6">
        <v>32</v>
      </c>
      <c r="G50" s="6">
        <v>45</v>
      </c>
      <c r="H50" s="6">
        <v>85</v>
      </c>
      <c r="I50" s="6" t="s">
        <v>31</v>
      </c>
      <c r="J50" s="6">
        <v>70</v>
      </c>
      <c r="K50" s="6"/>
      <c r="L50" s="6"/>
      <c r="M50" s="6"/>
      <c r="N50" s="6"/>
      <c r="O50" s="6"/>
    </row>
    <row r="51" spans="2:15" ht="21" x14ac:dyDescent="0.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" x14ac:dyDescent="0.5">
      <c r="C52" s="6" t="str">
        <f t="shared" ref="C52:D52" si="8">C36</f>
        <v>16 Aug-Nov</v>
      </c>
      <c r="D52" s="6" t="str">
        <f t="shared" si="8"/>
        <v>harvesting stage</v>
      </c>
      <c r="E52" s="6">
        <v>15</v>
      </c>
      <c r="F52" s="6">
        <v>28</v>
      </c>
      <c r="G52" s="6">
        <v>45</v>
      </c>
      <c r="H52" s="6">
        <v>80</v>
      </c>
      <c r="I52" s="9" t="s">
        <v>30</v>
      </c>
      <c r="J52" s="6">
        <v>60</v>
      </c>
      <c r="K52" s="6"/>
      <c r="L52" s="6"/>
      <c r="M52" s="6"/>
      <c r="N52" s="6"/>
      <c r="O52" s="6"/>
    </row>
    <row r="53" spans="2:15" ht="21" x14ac:dyDescent="0.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" x14ac:dyDescent="0.5">
      <c r="B54" s="12" t="s">
        <v>26</v>
      </c>
      <c r="C54" s="6" t="str">
        <f t="shared" ref="C54:D58" si="9">C46</f>
        <v>March-10 April</v>
      </c>
      <c r="D54" s="6" t="str">
        <f t="shared" si="9"/>
        <v>vegetative</v>
      </c>
      <c r="E54" s="6">
        <v>10</v>
      </c>
      <c r="F54" s="6">
        <v>20</v>
      </c>
      <c r="G54" s="6">
        <v>55</v>
      </c>
      <c r="H54" s="6">
        <v>85</v>
      </c>
      <c r="I54" s="9" t="s">
        <v>29</v>
      </c>
      <c r="J54" s="6">
        <v>55</v>
      </c>
      <c r="K54" s="6"/>
      <c r="L54" s="6"/>
      <c r="M54" s="6"/>
      <c r="N54" s="6"/>
      <c r="O54" s="6"/>
    </row>
    <row r="55" spans="2:15" ht="21" x14ac:dyDescent="0.5">
      <c r="B55" s="6"/>
      <c r="C55" s="6"/>
      <c r="D55" s="6"/>
      <c r="E55" s="6"/>
      <c r="F55" s="6"/>
      <c r="G55" s="6"/>
      <c r="I55" s="9"/>
      <c r="J55" s="6"/>
      <c r="K55" s="6"/>
      <c r="L55" s="6"/>
      <c r="M55" s="6"/>
      <c r="N55" s="6"/>
      <c r="O55" s="6"/>
    </row>
    <row r="56" spans="2:15" ht="21" x14ac:dyDescent="0.5">
      <c r="B56" s="6"/>
      <c r="C56" s="6" t="str">
        <f t="shared" si="9"/>
        <v>11 April- 10 May</v>
      </c>
      <c r="D56" s="6" t="str">
        <f t="shared" si="9"/>
        <v xml:space="preserve">flowering </v>
      </c>
      <c r="E56" s="6">
        <v>15</v>
      </c>
      <c r="F56" s="6">
        <v>25</v>
      </c>
      <c r="G56" s="6">
        <v>55</v>
      </c>
      <c r="H56" s="6">
        <v>90</v>
      </c>
      <c r="I56" s="9" t="s">
        <v>30</v>
      </c>
      <c r="J56" s="6">
        <v>75</v>
      </c>
      <c r="K56" s="6"/>
      <c r="L56" s="6"/>
      <c r="M56" s="6"/>
      <c r="N56" s="6"/>
      <c r="O56" s="6"/>
    </row>
    <row r="57" spans="2:15" ht="21" x14ac:dyDescent="0.5">
      <c r="B57" s="6"/>
      <c r="C57" s="6"/>
      <c r="D57" s="6"/>
      <c r="E57" s="6"/>
      <c r="F57" s="6"/>
      <c r="G57" s="6"/>
      <c r="I57" s="9"/>
      <c r="J57" s="6"/>
      <c r="K57" s="6"/>
      <c r="L57" s="6"/>
      <c r="M57" s="6"/>
      <c r="N57" s="6"/>
      <c r="O57" s="6"/>
    </row>
    <row r="58" spans="2:15" ht="21" x14ac:dyDescent="0.5">
      <c r="B58" s="6"/>
      <c r="C58" s="6" t="str">
        <f t="shared" si="9"/>
        <v>11 May- 15 Aug</v>
      </c>
      <c r="D58" s="6" t="str">
        <f t="shared" si="9"/>
        <v>Fruiting Stage</v>
      </c>
      <c r="E58" s="6">
        <v>18</v>
      </c>
      <c r="F58" s="6">
        <v>28</v>
      </c>
      <c r="G58" s="6">
        <v>50</v>
      </c>
      <c r="H58" s="6">
        <v>85</v>
      </c>
      <c r="I58" s="6" t="s">
        <v>31</v>
      </c>
      <c r="J58" s="6">
        <v>70</v>
      </c>
      <c r="K58" s="6"/>
      <c r="L58" s="6"/>
      <c r="M58" s="6"/>
      <c r="N58" s="6"/>
      <c r="O58" s="6"/>
    </row>
    <row r="59" spans="2:15" ht="21" x14ac:dyDescent="0.5">
      <c r="B59" s="10"/>
      <c r="C59" s="6"/>
      <c r="D59" s="6"/>
      <c r="E59" s="6"/>
      <c r="F59" s="6"/>
      <c r="G59" s="6"/>
      <c r="I59" s="6"/>
      <c r="J59" s="6"/>
      <c r="K59" s="6"/>
      <c r="L59" s="6"/>
      <c r="M59" s="6"/>
      <c r="N59" s="6"/>
      <c r="O59" s="6"/>
    </row>
    <row r="60" spans="2:15" ht="21" x14ac:dyDescent="0.5">
      <c r="B60" s="6"/>
      <c r="C60" s="6" t="str">
        <f t="shared" ref="C60:D60" si="10">C36</f>
        <v>16 Aug-Nov</v>
      </c>
      <c r="D60" s="6" t="str">
        <f t="shared" si="10"/>
        <v>harvesting stage</v>
      </c>
      <c r="E60" s="6">
        <v>10</v>
      </c>
      <c r="F60" s="6">
        <v>24</v>
      </c>
      <c r="G60" s="6">
        <v>50</v>
      </c>
      <c r="H60" s="6">
        <v>80</v>
      </c>
      <c r="I60" s="6" t="s">
        <v>29</v>
      </c>
      <c r="J60" s="6">
        <v>40</v>
      </c>
      <c r="K60" s="6"/>
      <c r="L60" s="6"/>
      <c r="M60" s="6"/>
      <c r="N60" s="6"/>
      <c r="O60" s="6"/>
    </row>
    <row r="61" spans="2:15" ht="21" x14ac:dyDescent="0.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" x14ac:dyDescent="0.5">
      <c r="B62" s="12" t="s">
        <v>27</v>
      </c>
      <c r="C62" s="6" t="str">
        <f>C54</f>
        <v>March-10 April</v>
      </c>
      <c r="D62" s="6" t="str">
        <f>D54</f>
        <v>vegetative</v>
      </c>
      <c r="E62" s="6">
        <v>10</v>
      </c>
      <c r="F62" s="6">
        <v>20</v>
      </c>
      <c r="G62" s="6">
        <v>50</v>
      </c>
      <c r="H62" s="6">
        <v>80</v>
      </c>
      <c r="I62" s="6" t="s">
        <v>29</v>
      </c>
      <c r="J62" s="6">
        <v>50</v>
      </c>
      <c r="K62" s="6"/>
      <c r="L62" s="6"/>
      <c r="M62" s="6"/>
      <c r="N62" s="6"/>
      <c r="O62" s="6"/>
    </row>
    <row r="63" spans="2:15" ht="21" x14ac:dyDescent="0.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" x14ac:dyDescent="0.5">
      <c r="B64" s="6"/>
      <c r="C64" s="6" t="str">
        <f>C56</f>
        <v>11 April- 10 May</v>
      </c>
      <c r="D64" s="6" t="str">
        <f>D56</f>
        <v xml:space="preserve">flowering </v>
      </c>
      <c r="E64" s="6">
        <v>15</v>
      </c>
      <c r="F64" s="6">
        <v>25</v>
      </c>
      <c r="G64" s="6">
        <v>50</v>
      </c>
      <c r="H64" s="6">
        <v>85</v>
      </c>
      <c r="I64" s="6" t="s">
        <v>30</v>
      </c>
      <c r="J64" s="6">
        <v>70</v>
      </c>
      <c r="K64" s="6"/>
      <c r="L64" s="6"/>
      <c r="M64" s="6"/>
      <c r="N64" s="6"/>
      <c r="O64" s="6"/>
    </row>
    <row r="65" spans="2:15" ht="21" x14ac:dyDescent="0.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" x14ac:dyDescent="0.5">
      <c r="B66" s="6"/>
      <c r="C66" s="6" t="str">
        <f>C58</f>
        <v>11 May- 15 Aug</v>
      </c>
      <c r="D66" s="6" t="str">
        <f>D58</f>
        <v>Fruiting Stage</v>
      </c>
      <c r="E66" s="6">
        <v>20</v>
      </c>
      <c r="F66" s="6">
        <v>30</v>
      </c>
      <c r="G66" s="6">
        <v>55</v>
      </c>
      <c r="H66" s="6">
        <v>85</v>
      </c>
      <c r="I66" s="6" t="s">
        <v>31</v>
      </c>
      <c r="J66" s="6">
        <v>75</v>
      </c>
      <c r="K66" s="6"/>
      <c r="L66" s="6"/>
      <c r="M66" s="6"/>
      <c r="N66" s="6"/>
      <c r="O66" s="6"/>
    </row>
    <row r="67" spans="2:15" ht="21" x14ac:dyDescent="0.5">
      <c r="B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" x14ac:dyDescent="0.5">
      <c r="B68" s="6"/>
      <c r="C68" s="6" t="str">
        <f>C60</f>
        <v>16 Aug-Nov</v>
      </c>
      <c r="D68" s="6" t="str">
        <f>D60</f>
        <v>harvesting stage</v>
      </c>
      <c r="E68" s="6">
        <v>15</v>
      </c>
      <c r="F68" s="6">
        <v>28</v>
      </c>
      <c r="G68" s="6">
        <v>50</v>
      </c>
      <c r="H68" s="6">
        <v>80</v>
      </c>
      <c r="I68" s="6" t="s">
        <v>30</v>
      </c>
      <c r="J68" s="6">
        <v>50</v>
      </c>
      <c r="K68" s="6"/>
      <c r="L68" s="6"/>
      <c r="M68" s="6"/>
      <c r="N68" s="6"/>
      <c r="O68" s="6"/>
    </row>
    <row r="69" spans="2:15" ht="21" x14ac:dyDescent="0.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" x14ac:dyDescent="0.5">
      <c r="B70" s="12" t="s">
        <v>11</v>
      </c>
      <c r="C70" s="6" t="str">
        <f t="shared" ref="C70:D76" si="11">C62</f>
        <v>March-10 April</v>
      </c>
      <c r="D70" s="6" t="str">
        <f t="shared" si="11"/>
        <v>vegetative</v>
      </c>
      <c r="E70" s="6">
        <v>12</v>
      </c>
      <c r="F70" s="6">
        <v>22</v>
      </c>
      <c r="G70" s="6">
        <v>40</v>
      </c>
      <c r="H70" s="6">
        <v>70</v>
      </c>
      <c r="I70" s="6" t="s">
        <v>29</v>
      </c>
      <c r="J70" s="6">
        <v>45</v>
      </c>
      <c r="K70" s="6"/>
      <c r="L70" s="6"/>
      <c r="M70" s="6"/>
      <c r="N70" s="6"/>
      <c r="O70" s="6"/>
    </row>
    <row r="71" spans="2:15" ht="21" x14ac:dyDescent="0.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" x14ac:dyDescent="0.5">
      <c r="B72" s="6"/>
      <c r="C72" s="6" t="str">
        <f t="shared" si="11"/>
        <v>11 April- 10 May</v>
      </c>
      <c r="D72" s="6" t="str">
        <f t="shared" si="11"/>
        <v xml:space="preserve">flowering </v>
      </c>
      <c r="E72" s="6">
        <v>15</v>
      </c>
      <c r="F72" s="6">
        <v>28</v>
      </c>
      <c r="G72" s="6">
        <v>40</v>
      </c>
      <c r="H72" s="6">
        <v>75</v>
      </c>
      <c r="I72" s="6" t="s">
        <v>30</v>
      </c>
      <c r="J72" s="6">
        <v>75</v>
      </c>
      <c r="K72" s="6"/>
      <c r="L72" s="6"/>
      <c r="M72" s="6"/>
      <c r="N72" s="6"/>
      <c r="O72" s="6"/>
    </row>
    <row r="73" spans="2:15" ht="21" x14ac:dyDescent="0.5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" x14ac:dyDescent="0.5">
      <c r="B74" s="6"/>
      <c r="C74" s="6" t="str">
        <f t="shared" si="11"/>
        <v>11 May- 15 Aug</v>
      </c>
      <c r="D74" s="6" t="str">
        <f t="shared" si="11"/>
        <v>Fruiting Stage</v>
      </c>
      <c r="E74" s="6">
        <v>20</v>
      </c>
      <c r="F74" s="6">
        <v>32</v>
      </c>
      <c r="G74" s="6">
        <v>35</v>
      </c>
      <c r="H74" s="6">
        <v>70</v>
      </c>
      <c r="I74" s="6" t="s">
        <v>31</v>
      </c>
      <c r="J74" s="6">
        <v>70</v>
      </c>
      <c r="K74" s="6"/>
      <c r="L74" s="6"/>
      <c r="M74" s="6"/>
      <c r="N74" s="6"/>
      <c r="O74" s="6"/>
    </row>
    <row r="75" spans="2:15" ht="21" x14ac:dyDescent="0.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" x14ac:dyDescent="0.5">
      <c r="B76" s="6"/>
      <c r="C76" s="6" t="str">
        <f t="shared" si="11"/>
        <v>16 Aug-Nov</v>
      </c>
      <c r="D76" s="6" t="str">
        <f t="shared" si="11"/>
        <v>harvesting stage</v>
      </c>
      <c r="E76" s="6">
        <v>15</v>
      </c>
      <c r="F76" s="6">
        <v>28</v>
      </c>
      <c r="G76" s="6">
        <v>40</v>
      </c>
      <c r="H76" s="6">
        <v>75</v>
      </c>
      <c r="I76" s="6" t="s">
        <v>29</v>
      </c>
      <c r="J76" s="6">
        <v>40</v>
      </c>
      <c r="K76" s="6"/>
      <c r="L76" s="6"/>
      <c r="M76" s="6"/>
      <c r="N76" s="6"/>
      <c r="O76" s="6"/>
    </row>
    <row r="77" spans="2:15" ht="21" x14ac:dyDescent="0.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" x14ac:dyDescent="0.5">
      <c r="B78" s="12" t="s">
        <v>28</v>
      </c>
      <c r="C78" s="6" t="str">
        <f t="shared" ref="C78:D84" si="12">C62</f>
        <v>March-10 April</v>
      </c>
      <c r="D78" s="6" t="str">
        <f t="shared" si="12"/>
        <v>vegetative</v>
      </c>
      <c r="E78" s="6">
        <v>10</v>
      </c>
      <c r="F78" s="6">
        <v>20</v>
      </c>
      <c r="G78" s="6">
        <v>50</v>
      </c>
      <c r="H78" s="6">
        <v>75</v>
      </c>
      <c r="I78" s="6" t="s">
        <v>32</v>
      </c>
      <c r="J78" s="6">
        <v>15</v>
      </c>
      <c r="K78" s="6"/>
      <c r="L78" s="6"/>
      <c r="M78" s="6"/>
      <c r="N78" s="6"/>
      <c r="O78" s="6"/>
    </row>
    <row r="79" spans="2:15" ht="21" x14ac:dyDescent="0.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" x14ac:dyDescent="0.5">
      <c r="B80" s="6"/>
      <c r="C80" s="6" t="str">
        <f t="shared" si="12"/>
        <v>11 April- 10 May</v>
      </c>
      <c r="D80" s="6" t="str">
        <f t="shared" si="12"/>
        <v xml:space="preserve">flowering </v>
      </c>
      <c r="E80" s="6">
        <v>15</v>
      </c>
      <c r="F80" s="6">
        <v>24</v>
      </c>
      <c r="G80" s="6">
        <v>55</v>
      </c>
      <c r="H80" s="6">
        <v>80</v>
      </c>
      <c r="I80" s="6" t="s">
        <v>32</v>
      </c>
      <c r="J80" s="6">
        <v>20</v>
      </c>
      <c r="K80" s="6"/>
      <c r="L80" s="6"/>
      <c r="M80" s="6"/>
      <c r="N80" s="6"/>
      <c r="O80" s="6"/>
    </row>
    <row r="81" spans="2:15" ht="21" x14ac:dyDescent="0.5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" x14ac:dyDescent="0.5">
      <c r="B82" s="6"/>
      <c r="C82" s="6" t="str">
        <f t="shared" si="12"/>
        <v>11 May- 15 Aug</v>
      </c>
      <c r="D82" s="6" t="str">
        <f t="shared" si="12"/>
        <v>Fruiting Stage</v>
      </c>
      <c r="E82" s="6">
        <v>20</v>
      </c>
      <c r="F82" s="6">
        <v>30</v>
      </c>
      <c r="G82" s="6">
        <v>60</v>
      </c>
      <c r="H82" s="6">
        <v>90</v>
      </c>
      <c r="I82" s="6" t="s">
        <v>30</v>
      </c>
      <c r="J82" s="6">
        <v>50</v>
      </c>
      <c r="K82" s="6"/>
      <c r="L82" s="6"/>
      <c r="M82" s="6"/>
      <c r="N82" s="6"/>
      <c r="O82" s="6"/>
    </row>
    <row r="83" spans="2:15" ht="21" x14ac:dyDescent="0.5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" x14ac:dyDescent="0.5">
      <c r="B84" s="6"/>
      <c r="C84" s="6" t="str">
        <f t="shared" si="12"/>
        <v>16 Aug-Nov</v>
      </c>
      <c r="D84" s="6" t="str">
        <f t="shared" si="12"/>
        <v>harvesting stage</v>
      </c>
      <c r="E84" s="6">
        <v>18</v>
      </c>
      <c r="F84" s="6">
        <v>28</v>
      </c>
      <c r="G84" s="6">
        <v>60</v>
      </c>
      <c r="H84" s="6">
        <v>90</v>
      </c>
      <c r="I84" s="6" t="s">
        <v>31</v>
      </c>
      <c r="J84" s="6">
        <v>75</v>
      </c>
      <c r="K84" s="6"/>
      <c r="L84" s="6"/>
      <c r="M84" s="6"/>
      <c r="N84" s="6"/>
      <c r="O84" s="6"/>
    </row>
    <row r="85" spans="2:15" ht="21" x14ac:dyDescent="0.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" x14ac:dyDescent="0.5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" x14ac:dyDescent="0.5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" x14ac:dyDescent="0.5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" x14ac:dyDescent="0.5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" x14ac:dyDescent="0.5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" x14ac:dyDescent="0.5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" x14ac:dyDescent="0.5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" x14ac:dyDescent="0.5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" x14ac:dyDescent="0.5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" x14ac:dyDescent="0.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" x14ac:dyDescent="0.5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" x14ac:dyDescent="0.5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" x14ac:dyDescent="0.5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" x14ac:dyDescent="0.5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" x14ac:dyDescent="0.5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" x14ac:dyDescent="0.5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" x14ac:dyDescent="0.5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" x14ac:dyDescent="0.5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" x14ac:dyDescent="0.5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" x14ac:dyDescent="0.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" x14ac:dyDescent="0.5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" x14ac:dyDescent="0.5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" x14ac:dyDescent="0.5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" x14ac:dyDescent="0.5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" x14ac:dyDescent="0.5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" x14ac:dyDescent="0.5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" x14ac:dyDescent="0.5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" x14ac:dyDescent="0.5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" x14ac:dyDescent="0.5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" x14ac:dyDescent="0.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" x14ac:dyDescent="0.5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" x14ac:dyDescent="0.5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" x14ac:dyDescent="0.5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" x14ac:dyDescent="0.5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" x14ac:dyDescent="0.5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" x14ac:dyDescent="0.5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" x14ac:dyDescent="0.5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" x14ac:dyDescent="0.5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" x14ac:dyDescent="0.5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" x14ac:dyDescent="0.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" x14ac:dyDescent="0.5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" x14ac:dyDescent="0.5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" x14ac:dyDescent="0.5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" x14ac:dyDescent="0.5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" x14ac:dyDescent="0.5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" x14ac:dyDescent="0.5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" x14ac:dyDescent="0.5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" x14ac:dyDescent="0.5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" x14ac:dyDescent="0.5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" x14ac:dyDescent="0.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" x14ac:dyDescent="0.5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" x14ac:dyDescent="0.5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" x14ac:dyDescent="0.5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" x14ac:dyDescent="0.5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" x14ac:dyDescent="0.5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" x14ac:dyDescent="0.5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" x14ac:dyDescent="0.5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" x14ac:dyDescent="0.5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" x14ac:dyDescent="0.5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" x14ac:dyDescent="0.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" x14ac:dyDescent="0.5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" x14ac:dyDescent="0.5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" x14ac:dyDescent="0.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" x14ac:dyDescent="0.5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" x14ac:dyDescent="0.5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" x14ac:dyDescent="0.5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" x14ac:dyDescent="0.5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" x14ac:dyDescent="0.5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" x14ac:dyDescent="0.5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" x14ac:dyDescent="0.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" x14ac:dyDescent="0.5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" x14ac:dyDescent="0.5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" x14ac:dyDescent="0.5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" x14ac:dyDescent="0.5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" x14ac:dyDescent="0.5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" x14ac:dyDescent="0.5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" x14ac:dyDescent="0.5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" x14ac:dyDescent="0.5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" x14ac:dyDescent="0.5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" x14ac:dyDescent="0.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" x14ac:dyDescent="0.5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" x14ac:dyDescent="0.5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2:15" ht="21" x14ac:dyDescent="0.5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2:15" ht="21" x14ac:dyDescent="0.5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2:15" ht="21" x14ac:dyDescent="0.5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2:15" ht="21" x14ac:dyDescent="0.5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2:15" ht="21" x14ac:dyDescent="0.5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2:15" ht="21" x14ac:dyDescent="0.5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2:15" ht="21" x14ac:dyDescent="0.5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2:15" ht="21" x14ac:dyDescent="0.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2:15" ht="21" x14ac:dyDescent="0.5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2:15" ht="21" x14ac:dyDescent="0.5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2:15" ht="21" x14ac:dyDescent="0.5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2:15" ht="21" x14ac:dyDescent="0.5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2:15" ht="21" x14ac:dyDescent="0.5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2:15" ht="21" x14ac:dyDescent="0.5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2:15" ht="21" x14ac:dyDescent="0.5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2:15" ht="21" x14ac:dyDescent="0.5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2:15" ht="21" x14ac:dyDescent="0.5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2:15" ht="21" x14ac:dyDescent="0.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2:15" ht="21" x14ac:dyDescent="0.5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2:15" ht="21" x14ac:dyDescent="0.5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2:15" ht="21" x14ac:dyDescent="0.5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2:15" ht="21" x14ac:dyDescent="0.5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2:15" ht="21" x14ac:dyDescent="0.5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2:15" ht="21" x14ac:dyDescent="0.5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2:15" ht="21" x14ac:dyDescent="0.5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2:14" ht="21" x14ac:dyDescent="0.5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2:14" ht="21" x14ac:dyDescent="0.5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2:14" ht="21" x14ac:dyDescent="0.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2:14" ht="21" x14ac:dyDescent="0.5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2:14" ht="21" x14ac:dyDescent="0.5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2:14" ht="21" x14ac:dyDescent="0.5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2:14" ht="21" x14ac:dyDescent="0.5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2:14" ht="21" x14ac:dyDescent="0.5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2:14" ht="21" x14ac:dyDescent="0.5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2:14" ht="21" x14ac:dyDescent="0.5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2:14" ht="21" x14ac:dyDescent="0.5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2:14" ht="21" x14ac:dyDescent="0.5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2:14" ht="21" x14ac:dyDescent="0.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2:14" ht="21" x14ac:dyDescent="0.5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2:14" ht="21" x14ac:dyDescent="0.5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2:14" ht="21" x14ac:dyDescent="0.5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2:14" ht="21" x14ac:dyDescent="0.5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2:14" ht="21" x14ac:dyDescent="0.5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2:14" ht="21" x14ac:dyDescent="0.5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2:14" ht="21" x14ac:dyDescent="0.5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2:14" ht="21" x14ac:dyDescent="0.5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2:14" ht="21" x14ac:dyDescent="0.5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2:14" ht="21" x14ac:dyDescent="0.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2:14" ht="21" x14ac:dyDescent="0.5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2:14" ht="21" x14ac:dyDescent="0.5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2:14" ht="21" x14ac:dyDescent="0.5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2:14" ht="21" x14ac:dyDescent="0.5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2:14" ht="21" x14ac:dyDescent="0.5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2:14" ht="21" x14ac:dyDescent="0.5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2:14" ht="21" x14ac:dyDescent="0.5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2:14" ht="21" x14ac:dyDescent="0.5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2:14" ht="21" x14ac:dyDescent="0.5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2:14" ht="21" x14ac:dyDescent="0.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2:14" ht="21" x14ac:dyDescent="0.5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2:14" ht="21" x14ac:dyDescent="0.5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2:14" ht="21" x14ac:dyDescent="0.5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2:14" ht="21" x14ac:dyDescent="0.5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spans="2:14" ht="21" x14ac:dyDescent="0.5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2:14" ht="21" x14ac:dyDescent="0.5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spans="2:14" ht="21" x14ac:dyDescent="0.5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2:14" ht="21" x14ac:dyDescent="0.5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2:14" ht="21" x14ac:dyDescent="0.5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2:14" ht="21" x14ac:dyDescent="0.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spans="2:14" ht="21" x14ac:dyDescent="0.5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2:14" ht="21" x14ac:dyDescent="0.5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spans="2:14" ht="21" x14ac:dyDescent="0.5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spans="2:14" ht="21" x14ac:dyDescent="0.5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spans="2:14" ht="21" x14ac:dyDescent="0.5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spans="2:14" ht="21" x14ac:dyDescent="0.5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spans="2:14" ht="21" x14ac:dyDescent="0.5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spans="2:14" ht="21" x14ac:dyDescent="0.5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spans="2:14" ht="21" x14ac:dyDescent="0.5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spans="2:14" ht="21" x14ac:dyDescent="0.5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spans="2:14" ht="21" x14ac:dyDescent="0.5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spans="2:14" ht="21" x14ac:dyDescent="0.5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spans="2:14" ht="21" x14ac:dyDescent="0.5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spans="2:14" ht="21" x14ac:dyDescent="0.5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spans="2:14" ht="21" x14ac:dyDescent="0.5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2:14" ht="21" x14ac:dyDescent="0.5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spans="2:14" ht="21" x14ac:dyDescent="0.5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spans="2:14" ht="21" x14ac:dyDescent="0.5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spans="2:14" ht="21" x14ac:dyDescent="0.5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spans="2:14" ht="21" x14ac:dyDescent="0.5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spans="2:14" ht="21" x14ac:dyDescent="0.5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spans="2:14" ht="21" x14ac:dyDescent="0.5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spans="2:14" ht="21" x14ac:dyDescent="0.5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spans="2:14" ht="21" x14ac:dyDescent="0.5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spans="2:14" ht="21" x14ac:dyDescent="0.5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spans="2:14" ht="21" x14ac:dyDescent="0.5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spans="2:14" ht="21" x14ac:dyDescent="0.5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spans="2:14" ht="21" x14ac:dyDescent="0.5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spans="2:14" ht="21" x14ac:dyDescent="0.5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spans="2:14" ht="21" x14ac:dyDescent="0.5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spans="2:14" ht="21" x14ac:dyDescent="0.5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spans="2:14" ht="21" x14ac:dyDescent="0.5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spans="2:14" ht="21" x14ac:dyDescent="0.5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spans="2:14" ht="21" x14ac:dyDescent="0.5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spans="2:14" ht="21" x14ac:dyDescent="0.5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spans="2:14" ht="21" x14ac:dyDescent="0.5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 spans="2:14" ht="21" x14ac:dyDescent="0.5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spans="2:14" ht="21" x14ac:dyDescent="0.5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 spans="2:14" ht="21" x14ac:dyDescent="0.5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spans="2:14" ht="21" x14ac:dyDescent="0.5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spans="2:14" ht="21" x14ac:dyDescent="0.5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spans="2:14" ht="21" x14ac:dyDescent="0.5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spans="2:14" ht="21" x14ac:dyDescent="0.5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spans="2:14" ht="21" x14ac:dyDescent="0.5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spans="2:14" ht="21" x14ac:dyDescent="0.5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spans="2:14" ht="21" x14ac:dyDescent="0.5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spans="2:14" ht="21" x14ac:dyDescent="0.5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spans="2:14" ht="21" x14ac:dyDescent="0.5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spans="2:14" ht="21" x14ac:dyDescent="0.5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spans="2:14" ht="21" x14ac:dyDescent="0.5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spans="2:14" ht="21" x14ac:dyDescent="0.5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spans="2:14" ht="21" x14ac:dyDescent="0.5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spans="2:14" ht="21" x14ac:dyDescent="0.5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spans="2:14" ht="21" x14ac:dyDescent="0.5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spans="2:14" ht="21" x14ac:dyDescent="0.5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spans="2:14" ht="21" x14ac:dyDescent="0.5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 spans="2:14" ht="21" x14ac:dyDescent="0.5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spans="2:14" ht="21" x14ac:dyDescent="0.5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spans="2:14" ht="21" x14ac:dyDescent="0.5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spans="2:14" ht="21" x14ac:dyDescent="0.5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 spans="2:14" ht="21" x14ac:dyDescent="0.5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spans="2:14" ht="21" x14ac:dyDescent="0.5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 spans="2:14" ht="21" x14ac:dyDescent="0.5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 spans="2:14" ht="21" x14ac:dyDescent="0.5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 spans="2:14" ht="21" x14ac:dyDescent="0.5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spans="2:14" ht="21" x14ac:dyDescent="0.5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 spans="2:14" ht="21" x14ac:dyDescent="0.5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 spans="2:14" ht="21" x14ac:dyDescent="0.5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 spans="2:14" ht="21" x14ac:dyDescent="0.5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2:14" ht="21" x14ac:dyDescent="0.5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 spans="2:14" ht="21" x14ac:dyDescent="0.5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 spans="2:14" ht="21" x14ac:dyDescent="0.5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 spans="2:14" ht="21" x14ac:dyDescent="0.5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spans="2:14" ht="21" x14ac:dyDescent="0.5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 spans="2:14" ht="21" x14ac:dyDescent="0.5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 spans="2:14" ht="21" x14ac:dyDescent="0.5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 spans="2:14" ht="21" x14ac:dyDescent="0.5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spans="2:14" ht="21" x14ac:dyDescent="0.5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 spans="2:14" ht="21" x14ac:dyDescent="0.5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 spans="2:14" ht="21" x14ac:dyDescent="0.5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 spans="2:14" ht="21" x14ac:dyDescent="0.5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 spans="2:14" ht="21" x14ac:dyDescent="0.5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 spans="2:14" ht="21" x14ac:dyDescent="0.5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 spans="2:14" ht="21" x14ac:dyDescent="0.5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 spans="2:14" ht="21" x14ac:dyDescent="0.5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 spans="2:14" ht="21" x14ac:dyDescent="0.5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 spans="2:14" ht="21" x14ac:dyDescent="0.5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 spans="2:14" ht="21" x14ac:dyDescent="0.5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 spans="2:14" ht="21" x14ac:dyDescent="0.5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 spans="2:14" ht="21" x14ac:dyDescent="0.5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 spans="2:14" ht="21" x14ac:dyDescent="0.5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 spans="2:14" ht="21" x14ac:dyDescent="0.5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 spans="2:14" ht="21" x14ac:dyDescent="0.5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 spans="2:14" ht="21" x14ac:dyDescent="0.5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 spans="2:14" ht="21" x14ac:dyDescent="0.5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 spans="2:14" ht="21" x14ac:dyDescent="0.5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 spans="2:14" ht="21" x14ac:dyDescent="0.5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 spans="2:14" ht="21" x14ac:dyDescent="0.5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 spans="2:14" ht="21" x14ac:dyDescent="0.5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 spans="2:14" ht="21" x14ac:dyDescent="0.5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 spans="2:14" ht="21" x14ac:dyDescent="0.5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 spans="2:14" ht="21" x14ac:dyDescent="0.5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 spans="2:14" ht="21" x14ac:dyDescent="0.5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 spans="2:14" ht="21" x14ac:dyDescent="0.5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 spans="2:14" ht="21" x14ac:dyDescent="0.5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 spans="2:14" ht="21" x14ac:dyDescent="0.5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 spans="2:14" ht="21" x14ac:dyDescent="0.5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 spans="2:14" ht="21" x14ac:dyDescent="0.5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 spans="2:14" ht="21" x14ac:dyDescent="0.5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spans="2:14" ht="21" x14ac:dyDescent="0.5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 spans="2:14" ht="21" x14ac:dyDescent="0.5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spans="2:14" ht="21" x14ac:dyDescent="0.5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 spans="2:14" ht="21" x14ac:dyDescent="0.5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 spans="2:14" ht="21" x14ac:dyDescent="0.5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 spans="2:14" ht="21" x14ac:dyDescent="0.5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 spans="2:14" ht="21" x14ac:dyDescent="0.5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 spans="2:14" ht="21" x14ac:dyDescent="0.5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 spans="2:14" ht="21" x14ac:dyDescent="0.5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 spans="2:14" ht="21" x14ac:dyDescent="0.5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 spans="2:14" ht="21" x14ac:dyDescent="0.5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spans="2:14" ht="21" x14ac:dyDescent="0.5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 spans="2:14" ht="21" x14ac:dyDescent="0.5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 spans="2:14" ht="21" x14ac:dyDescent="0.5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 spans="2:14" ht="21" x14ac:dyDescent="0.5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 spans="2:14" ht="21" x14ac:dyDescent="0.5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spans="2:14" ht="21" x14ac:dyDescent="0.5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 spans="2:14" ht="21" x14ac:dyDescent="0.5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 spans="2:14" ht="21" x14ac:dyDescent="0.5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 spans="2:14" ht="21" x14ac:dyDescent="0.5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 spans="2:14" ht="21" x14ac:dyDescent="0.5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 spans="2:14" ht="21" x14ac:dyDescent="0.5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 spans="2:14" ht="21" x14ac:dyDescent="0.5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 spans="2:14" ht="21" x14ac:dyDescent="0.5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 spans="2:14" ht="21" x14ac:dyDescent="0.5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 spans="2:14" ht="21" x14ac:dyDescent="0.5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 spans="2:14" ht="21" x14ac:dyDescent="0.5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 spans="2:14" ht="21" x14ac:dyDescent="0.5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 spans="2:14" ht="21" x14ac:dyDescent="0.5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 spans="2:14" ht="21" x14ac:dyDescent="0.5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 spans="2:14" ht="21" x14ac:dyDescent="0.5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 spans="2:14" ht="21" x14ac:dyDescent="0.5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spans="2:14" ht="21" x14ac:dyDescent="0.5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spans="2:14" ht="21" x14ac:dyDescent="0.5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spans="2:14" ht="21" x14ac:dyDescent="0.5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spans="2:14" ht="21" x14ac:dyDescent="0.5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spans="2:14" ht="21" x14ac:dyDescent="0.5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spans="2:14" ht="21" x14ac:dyDescent="0.5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spans="2:14" ht="21" x14ac:dyDescent="0.5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spans="2:14" ht="21" x14ac:dyDescent="0.5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spans="2:14" ht="21" x14ac:dyDescent="0.5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spans="2:14" ht="21" x14ac:dyDescent="0.5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spans="2:14" ht="21" x14ac:dyDescent="0.5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 spans="2:14" ht="21" x14ac:dyDescent="0.5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spans="2:14" ht="21" x14ac:dyDescent="0.5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spans="2:14" ht="21" x14ac:dyDescent="0.5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spans="2:14" ht="21" x14ac:dyDescent="0.5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spans="2:14" ht="21" x14ac:dyDescent="0.5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spans="2:14" ht="21" x14ac:dyDescent="0.5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spans="2:14" ht="21" x14ac:dyDescent="0.5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spans="2:14" ht="21" x14ac:dyDescent="0.5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spans="2:14" ht="21" x14ac:dyDescent="0.5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spans="2:14" ht="21" x14ac:dyDescent="0.5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spans="2:14" ht="21" x14ac:dyDescent="0.5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 spans="2:14" ht="21" x14ac:dyDescent="0.5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 spans="2:14" ht="21" x14ac:dyDescent="0.5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spans="2:14" ht="21" x14ac:dyDescent="0.5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spans="2:14" ht="21" x14ac:dyDescent="0.5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spans="2:14" ht="21" x14ac:dyDescent="0.5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spans="2:14" ht="21" x14ac:dyDescent="0.5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 spans="2:14" ht="21" x14ac:dyDescent="0.5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spans="2:14" ht="21" x14ac:dyDescent="0.5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spans="2:14" ht="21" x14ac:dyDescent="0.5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 spans="2:14" ht="21" x14ac:dyDescent="0.5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spans="2:14" ht="21" x14ac:dyDescent="0.5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spans="2:14" ht="21" x14ac:dyDescent="0.5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spans="2:14" ht="21" x14ac:dyDescent="0.5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 spans="2:14" ht="21" x14ac:dyDescent="0.5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spans="2:14" ht="21" x14ac:dyDescent="0.5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spans="2:14" ht="21" x14ac:dyDescent="0.5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spans="2:14" ht="21" x14ac:dyDescent="0.5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 spans="2:14" ht="21" x14ac:dyDescent="0.5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 spans="2:14" ht="21" x14ac:dyDescent="0.5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spans="2:14" ht="21" x14ac:dyDescent="0.5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spans="2:14" ht="21" x14ac:dyDescent="0.5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spans="2:14" ht="21" x14ac:dyDescent="0.5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spans="2:14" ht="21" x14ac:dyDescent="0.5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 spans="2:14" ht="21" x14ac:dyDescent="0.5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spans="2:14" ht="21" x14ac:dyDescent="0.5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 spans="2:14" ht="21" x14ac:dyDescent="0.5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 spans="2:14" ht="21" x14ac:dyDescent="0.5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 spans="2:14" ht="21" x14ac:dyDescent="0.5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 spans="2:14" ht="21" x14ac:dyDescent="0.5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spans="2:14" ht="21" x14ac:dyDescent="0.5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spans="2:14" ht="21" x14ac:dyDescent="0.5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 spans="2:14" ht="21" x14ac:dyDescent="0.5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 spans="2:14" ht="21" x14ac:dyDescent="0.5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spans="2:14" ht="21" x14ac:dyDescent="0.5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spans="2:14" ht="21" x14ac:dyDescent="0.5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 spans="2:14" ht="21" x14ac:dyDescent="0.5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spans="2:14" ht="21" x14ac:dyDescent="0.5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spans="2:14" ht="21" x14ac:dyDescent="0.5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spans="2:14" ht="21" x14ac:dyDescent="0.5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spans="2:14" ht="21" x14ac:dyDescent="0.5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spans="2:14" ht="21" x14ac:dyDescent="0.5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 spans="2:14" ht="21" x14ac:dyDescent="0.5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spans="2:14" ht="21" x14ac:dyDescent="0.5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spans="2:14" ht="21" x14ac:dyDescent="0.5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spans="2:14" ht="21" x14ac:dyDescent="0.5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spans="2:14" ht="21" x14ac:dyDescent="0.5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 spans="2:14" ht="21" x14ac:dyDescent="0.5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spans="2:14" ht="21" x14ac:dyDescent="0.5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spans="2:14" ht="21" x14ac:dyDescent="0.5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 spans="2:14" ht="21" x14ac:dyDescent="0.5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 spans="2:14" ht="21" x14ac:dyDescent="0.5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 spans="2:14" ht="21" x14ac:dyDescent="0.5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spans="2:14" ht="21" x14ac:dyDescent="0.5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 spans="2:14" ht="21" x14ac:dyDescent="0.5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 spans="2:14" ht="21" x14ac:dyDescent="0.5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 spans="2:14" ht="21" x14ac:dyDescent="0.5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spans="2:14" ht="21" x14ac:dyDescent="0.5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spans="2:14" ht="21" x14ac:dyDescent="0.5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spans="2:14" ht="21" x14ac:dyDescent="0.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 spans="2:14" ht="21" x14ac:dyDescent="0.5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 spans="2:14" ht="21" x14ac:dyDescent="0.5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 spans="2:14" ht="21" x14ac:dyDescent="0.5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 spans="2:14" ht="21" x14ac:dyDescent="0.5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 spans="2:14" ht="21" x14ac:dyDescent="0.5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 spans="2:14" ht="21" x14ac:dyDescent="0.5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 spans="2:14" ht="21" x14ac:dyDescent="0.5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spans="2:14" ht="21" x14ac:dyDescent="0.5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spans="2:14" ht="21" x14ac:dyDescent="0.5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 spans="2:14" ht="21" x14ac:dyDescent="0.5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 spans="2:14" ht="21" x14ac:dyDescent="0.5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spans="2:14" ht="21" x14ac:dyDescent="0.5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 spans="2:14" ht="21" x14ac:dyDescent="0.5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 spans="2:14" ht="21" x14ac:dyDescent="0.5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 spans="2:14" ht="21" x14ac:dyDescent="0.5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spans="2:14" ht="21" x14ac:dyDescent="0.5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spans="2:14" ht="21" x14ac:dyDescent="0.5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 spans="2:14" ht="21" x14ac:dyDescent="0.5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 spans="2:14" ht="21" x14ac:dyDescent="0.5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spans="2:14" ht="21" x14ac:dyDescent="0.5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 spans="2:14" ht="21" x14ac:dyDescent="0.5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 spans="2:14" ht="21" x14ac:dyDescent="0.5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 spans="2:14" ht="21" x14ac:dyDescent="0.5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spans="2:14" ht="21" x14ac:dyDescent="0.5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 spans="2:14" ht="21" x14ac:dyDescent="0.5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 spans="2:14" ht="21" x14ac:dyDescent="0.5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 spans="2:14" ht="21" x14ac:dyDescent="0.5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spans="2:14" ht="21" x14ac:dyDescent="0.5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 spans="2:14" ht="21" x14ac:dyDescent="0.5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 spans="2:14" ht="21" x14ac:dyDescent="0.5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 spans="2:14" ht="21" x14ac:dyDescent="0.5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spans="2:14" ht="21" x14ac:dyDescent="0.5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 spans="2:14" ht="21" x14ac:dyDescent="0.5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 spans="2:14" ht="21" x14ac:dyDescent="0.5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spans="2:14" ht="21" x14ac:dyDescent="0.5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 spans="2:14" ht="21" x14ac:dyDescent="0.5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 spans="2:14" ht="21" x14ac:dyDescent="0.5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 spans="2:14" ht="21" x14ac:dyDescent="0.5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 spans="2:14" ht="21" x14ac:dyDescent="0.5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 spans="2:14" ht="21" x14ac:dyDescent="0.5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 spans="2:14" ht="21" x14ac:dyDescent="0.5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 spans="2:14" ht="21" x14ac:dyDescent="0.5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 spans="2:14" ht="21" x14ac:dyDescent="0.5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 spans="2:14" ht="21" x14ac:dyDescent="0.5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 spans="2:14" ht="21" x14ac:dyDescent="0.5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 spans="2:14" ht="21" x14ac:dyDescent="0.5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 spans="2:14" ht="21" x14ac:dyDescent="0.5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 spans="2:14" ht="21" x14ac:dyDescent="0.5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 spans="2:14" ht="21" x14ac:dyDescent="0.5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 spans="2:14" ht="21" x14ac:dyDescent="0.5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 spans="2:14" ht="21" x14ac:dyDescent="0.5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 spans="2:14" ht="21" x14ac:dyDescent="0.5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 spans="2:14" ht="21" x14ac:dyDescent="0.5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 spans="2:14" ht="21" x14ac:dyDescent="0.5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 spans="2:14" ht="21" x14ac:dyDescent="0.5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spans="2:14" ht="21" x14ac:dyDescent="0.5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spans="2:14" ht="21" x14ac:dyDescent="0.5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spans="2:14" ht="21" x14ac:dyDescent="0.5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spans="2:14" ht="21" x14ac:dyDescent="0.5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spans="2:14" ht="21" x14ac:dyDescent="0.5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spans="2:14" ht="21" x14ac:dyDescent="0.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spans="2:14" ht="21" x14ac:dyDescent="0.5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spans="2:14" ht="21" x14ac:dyDescent="0.5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spans="2:14" ht="21" x14ac:dyDescent="0.5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spans="2:14" ht="21" x14ac:dyDescent="0.5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spans="2:14" ht="21" x14ac:dyDescent="0.5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spans="2:14" ht="21" x14ac:dyDescent="0.5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spans="2:14" ht="21" x14ac:dyDescent="0.5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spans="2:14" ht="21" x14ac:dyDescent="0.5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spans="2:14" ht="21" x14ac:dyDescent="0.5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spans="2:14" ht="21" x14ac:dyDescent="0.5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spans="2:14" ht="21" x14ac:dyDescent="0.5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spans="2:14" ht="21" x14ac:dyDescent="0.5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spans="2:14" ht="21" x14ac:dyDescent="0.5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spans="2:14" ht="21" x14ac:dyDescent="0.5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spans="2:14" ht="21" x14ac:dyDescent="0.5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spans="2:14" ht="21" x14ac:dyDescent="0.5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spans="2:14" ht="21" x14ac:dyDescent="0.5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spans="2:14" ht="21" x14ac:dyDescent="0.5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spans="2:14" ht="21" x14ac:dyDescent="0.5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spans="2:14" ht="21" x14ac:dyDescent="0.5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spans="2:14" ht="21" x14ac:dyDescent="0.5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spans="2:14" ht="21" x14ac:dyDescent="0.5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spans="2:14" ht="21" x14ac:dyDescent="0.5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spans="2:14" ht="21" x14ac:dyDescent="0.5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spans="2:14" ht="21" x14ac:dyDescent="0.5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spans="2:14" ht="21" x14ac:dyDescent="0.5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spans="2:14" ht="21" x14ac:dyDescent="0.5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spans="2:14" ht="21" x14ac:dyDescent="0.5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spans="2:14" ht="21" x14ac:dyDescent="0.5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spans="2:14" ht="21" x14ac:dyDescent="0.5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spans="2:14" ht="21" x14ac:dyDescent="0.5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spans="2:14" ht="21" x14ac:dyDescent="0.5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spans="2:14" ht="21" x14ac:dyDescent="0.5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spans="2:14" ht="21" x14ac:dyDescent="0.5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spans="2:14" ht="21" x14ac:dyDescent="0.5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spans="2:14" ht="21" x14ac:dyDescent="0.5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spans="2:14" ht="21" x14ac:dyDescent="0.5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spans="2:14" ht="21" x14ac:dyDescent="0.5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spans="2:14" ht="21" x14ac:dyDescent="0.5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spans="2:14" ht="21" x14ac:dyDescent="0.5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spans="2:14" ht="21" x14ac:dyDescent="0.5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spans="2:14" ht="21" x14ac:dyDescent="0.5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spans="2:14" ht="21" x14ac:dyDescent="0.5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spans="2:14" ht="21" x14ac:dyDescent="0.5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spans="2:14" ht="21" x14ac:dyDescent="0.5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spans="2:14" ht="21" x14ac:dyDescent="0.5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spans="2:14" ht="21" x14ac:dyDescent="0.5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spans="2:14" ht="21" x14ac:dyDescent="0.5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spans="2:14" ht="21" x14ac:dyDescent="0.5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spans="2:14" ht="21" x14ac:dyDescent="0.5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spans="2:14" ht="21" x14ac:dyDescent="0.5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spans="2:14" ht="21" x14ac:dyDescent="0.5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spans="2:14" ht="21" x14ac:dyDescent="0.5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spans="2:14" ht="21" x14ac:dyDescent="0.5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spans="2:14" ht="21" x14ac:dyDescent="0.5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spans="2:14" ht="21" x14ac:dyDescent="0.5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spans="2:14" ht="21" x14ac:dyDescent="0.5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spans="2:14" ht="21" x14ac:dyDescent="0.5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spans="2:14" ht="21" x14ac:dyDescent="0.5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spans="2:14" ht="21" x14ac:dyDescent="0.5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spans="2:14" ht="21" x14ac:dyDescent="0.5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spans="2:14" ht="21" x14ac:dyDescent="0.5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spans="2:14" ht="21" x14ac:dyDescent="0.5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spans="2:14" ht="21" x14ac:dyDescent="0.5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spans="2:14" ht="21" x14ac:dyDescent="0.5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spans="2:14" ht="21" x14ac:dyDescent="0.5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spans="2:14" ht="21" x14ac:dyDescent="0.5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spans="2:14" ht="21" x14ac:dyDescent="0.5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spans="2:14" ht="21" x14ac:dyDescent="0.5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spans="2:14" ht="21" x14ac:dyDescent="0.5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spans="2:14" ht="21" x14ac:dyDescent="0.5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spans="2:14" ht="21" x14ac:dyDescent="0.5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spans="2:14" ht="21" x14ac:dyDescent="0.5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spans="2:14" ht="21" x14ac:dyDescent="0.5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spans="2:14" ht="21" x14ac:dyDescent="0.5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spans="2:14" ht="21" x14ac:dyDescent="0.5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spans="2:14" ht="21" x14ac:dyDescent="0.5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spans="2:14" ht="21" x14ac:dyDescent="0.5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 spans="2:14" ht="21" x14ac:dyDescent="0.5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 spans="2:14" ht="21" x14ac:dyDescent="0.5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 spans="2:14" ht="21" x14ac:dyDescent="0.5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 spans="2:14" ht="21" x14ac:dyDescent="0.5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 spans="2:14" ht="21" x14ac:dyDescent="0.5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 spans="2:14" ht="21" x14ac:dyDescent="0.5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2026-04-24T15:59:41Z</dcterms:modified>
</cp:coreProperties>
</file>