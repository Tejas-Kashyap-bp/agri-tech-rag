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LL\Desktop\GOA\"/>
    </mc:Choice>
  </mc:AlternateContent>
  <xr:revisionPtr revIDLastSave="0" documentId="13_ncr:1_{0E3F73D0-E967-4CEF-A328-2D3C6839CF0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1" l="1"/>
  <c r="D53" i="1"/>
  <c r="C55" i="1"/>
  <c r="D55" i="1"/>
  <c r="C57" i="1"/>
  <c r="D57" i="1"/>
  <c r="C59" i="1"/>
  <c r="D59" i="1"/>
  <c r="C45" i="1"/>
  <c r="D45" i="1"/>
  <c r="C47" i="1"/>
  <c r="D47" i="1"/>
  <c r="C49" i="1"/>
  <c r="D49" i="1"/>
  <c r="C51" i="1"/>
  <c r="D51" i="1"/>
  <c r="G7" i="1"/>
  <c r="H7" i="1"/>
  <c r="C37" i="1"/>
  <c r="D37" i="1"/>
  <c r="C39" i="1"/>
  <c r="D39" i="1"/>
  <c r="C41" i="1"/>
  <c r="D41" i="1"/>
  <c r="C43" i="1"/>
  <c r="D43" i="1"/>
  <c r="C29" i="1"/>
  <c r="D29" i="1"/>
  <c r="C31" i="1"/>
  <c r="D31" i="1"/>
  <c r="C33" i="1"/>
  <c r="D33" i="1"/>
  <c r="C35" i="1"/>
  <c r="D35" i="1"/>
  <c r="C21" i="1"/>
  <c r="D21" i="1"/>
  <c r="C23" i="1"/>
  <c r="D23" i="1"/>
  <c r="C25" i="1"/>
  <c r="D25" i="1"/>
  <c r="C27" i="1"/>
  <c r="D27" i="1"/>
  <c r="C13" i="1"/>
  <c r="D13" i="1"/>
  <c r="C15" i="1"/>
  <c r="D15" i="1"/>
  <c r="C17" i="1"/>
  <c r="D17" i="1"/>
  <c r="C19" i="1"/>
  <c r="D19" i="1"/>
  <c r="G4" i="1"/>
  <c r="H4" i="1"/>
</calcChain>
</file>

<file path=xl/sharedStrings.xml><?xml version="1.0" encoding="utf-8"?>
<sst xmlns="http://schemas.openxmlformats.org/spreadsheetml/2006/main" count="55" uniqueCount="41">
  <si>
    <t>Crop</t>
  </si>
  <si>
    <t>Disease name</t>
  </si>
  <si>
    <t>Crop Age (Days)</t>
  </si>
  <si>
    <t>Stage</t>
  </si>
  <si>
    <t>Temp</t>
  </si>
  <si>
    <t>Min</t>
  </si>
  <si>
    <t>Max</t>
  </si>
  <si>
    <t>Humidity %</t>
  </si>
  <si>
    <t>Duration (hrs)</t>
  </si>
  <si>
    <t>Risk %</t>
  </si>
  <si>
    <t>vegetative</t>
  </si>
  <si>
    <t>8--12</t>
  </si>
  <si>
    <t>6--12</t>
  </si>
  <si>
    <t>10--12</t>
  </si>
  <si>
    <t>Apple</t>
  </si>
  <si>
    <t>Apple Scab</t>
  </si>
  <si>
    <t>March-10 April</t>
  </si>
  <si>
    <t>11 April- 10 May</t>
  </si>
  <si>
    <t xml:space="preserve">flowering </t>
  </si>
  <si>
    <t>11 May- 15 Aug</t>
  </si>
  <si>
    <t>Fruiting Stage</t>
  </si>
  <si>
    <t>16 Aug-Nov</t>
  </si>
  <si>
    <t>harvesting stage</t>
  </si>
  <si>
    <t>Alternaria Leaf Blotch</t>
  </si>
  <si>
    <t>9--12</t>
  </si>
  <si>
    <t>9--16</t>
  </si>
  <si>
    <t>Powdery Mildew</t>
  </si>
  <si>
    <t>Collar Rot / Crown Rot</t>
  </si>
  <si>
    <t>Root Rot</t>
  </si>
  <si>
    <t>Sooty Blotch and Flyspeck</t>
  </si>
  <si>
    <t xml:space="preserve">Marssonina Leaf Blotch </t>
  </si>
  <si>
    <t>/ Premature Leaf Fall</t>
  </si>
  <si>
    <t>8--10</t>
  </si>
  <si>
    <t>10--16</t>
  </si>
  <si>
    <t>10--14</t>
  </si>
  <si>
    <t>6--8</t>
  </si>
  <si>
    <t>6--10</t>
  </si>
  <si>
    <t>24--48</t>
  </si>
  <si>
    <t>24--72</t>
  </si>
  <si>
    <t>48--72</t>
  </si>
  <si>
    <t>12--24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</si>
</sst>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B050"/>
      <name val="Calibri"/>
      <family val="2"/>
      <scheme val="minor"/>
    </font>
    <font>
      <b/>
      <sz val="16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3" borderId="0" xfId="0" applyFont="1" applyFill="1"/>
    <xf numFmtId="0" fontId="4" fillId="2" borderId="0" xfId="0" applyFont="1" applyFill="1"/>
    <xf numFmtId="0" fontId="5" fillId="0" borderId="0" xfId="0" applyFont="1"/>
    <xf numFmtId="0" fontId="5" fillId="3" borderId="0" xfId="0" applyFont="1" applyFill="1"/>
    <xf numFmtId="0" fontId="5" fillId="2" borderId="0" xfId="0" applyFont="1" applyFill="1"/>
    <xf numFmtId="16" fontId="5" fillId="0" borderId="0" xfId="0" applyNumberFormat="1" applyFont="1"/>
    <xf numFmtId="0" fontId="6" fillId="0" borderId="0" xfId="0" applyFont="1"/>
    <xf numFmtId="0" fontId="7" fillId="0" borderId="0" xfId="0" applyFont="1"/>
    <xf numFmtId="17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79"/>
  <sheetViews>
    <sheetView tabSelected="1" workbookViewId="0">
      <selection activeCell="D62" sqref="D62"/>
    </sheetView>
  </sheetViews>
  <sheetFormatPr defaultRowHeight="14.5" x14ac:dyDescent="0.35"/>
  <cols>
    <col min="2" max="2" width="30.90625" customWidth="1"/>
    <col min="3" max="3" width="23.81640625" customWidth="1"/>
    <col min="4" max="4" width="26.7265625" customWidth="1"/>
    <col min="5" max="5" width="12" customWidth="1"/>
    <col min="9" max="9" width="18.54296875" customWidth="1"/>
  </cols>
  <sheetData>
    <row r="2" spans="2:14" ht="26" x14ac:dyDescent="0.6">
      <c r="H2" s="2" t="s">
        <v>0</v>
      </c>
      <c r="I2" s="2" t="s">
        <v>14</v>
      </c>
      <c r="J2" s="1"/>
    </row>
    <row r="3" spans="2:14" ht="21" x14ac:dyDescent="0.5">
      <c r="B3" s="3" t="s">
        <v>1</v>
      </c>
      <c r="C3" s="3" t="s">
        <v>2</v>
      </c>
      <c r="D3" s="3" t="s">
        <v>3</v>
      </c>
      <c r="E3" s="4" t="s">
        <v>4</v>
      </c>
      <c r="F3" s="4"/>
      <c r="G3" s="5" t="s">
        <v>7</v>
      </c>
      <c r="H3" s="5"/>
      <c r="I3" s="3" t="s">
        <v>8</v>
      </c>
      <c r="J3" s="6" t="s">
        <v>9</v>
      </c>
      <c r="K3" s="6"/>
    </row>
    <row r="4" spans="2:14" ht="21" x14ac:dyDescent="0.5">
      <c r="B4" s="6"/>
      <c r="C4" s="6"/>
      <c r="D4" s="6"/>
      <c r="E4" s="7" t="s">
        <v>5</v>
      </c>
      <c r="F4" s="7" t="s">
        <v>6</v>
      </c>
      <c r="G4" s="8" t="str">
        <f t="shared" ref="G4:H4" si="0">E4</f>
        <v>Min</v>
      </c>
      <c r="H4" s="8" t="str">
        <f t="shared" si="0"/>
        <v>Max</v>
      </c>
      <c r="I4" s="6"/>
      <c r="J4" s="6"/>
      <c r="K4" s="6"/>
      <c r="L4" s="6"/>
      <c r="M4" s="6"/>
      <c r="N4" s="6"/>
    </row>
    <row r="5" spans="2:14" ht="21" x14ac:dyDescent="0.5">
      <c r="B5" s="11" t="s">
        <v>15</v>
      </c>
      <c r="C5" s="12" t="s">
        <v>16</v>
      </c>
      <c r="D5" s="6" t="s">
        <v>10</v>
      </c>
      <c r="E5" s="6">
        <v>10</v>
      </c>
      <c r="F5" s="6">
        <v>20</v>
      </c>
      <c r="G5" s="6">
        <v>85</v>
      </c>
      <c r="H5" s="6">
        <v>100</v>
      </c>
      <c r="I5" s="9" t="s">
        <v>24</v>
      </c>
      <c r="J5" s="6">
        <v>60</v>
      </c>
      <c r="K5" s="6"/>
      <c r="L5" s="6"/>
      <c r="M5" s="6"/>
      <c r="N5" s="6"/>
    </row>
    <row r="6" spans="2:14" ht="21" x14ac:dyDescent="0.5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21" x14ac:dyDescent="0.5">
      <c r="B7" s="6"/>
      <c r="C7" s="6" t="s">
        <v>17</v>
      </c>
      <c r="D7" s="6" t="s">
        <v>18</v>
      </c>
      <c r="E7" s="6">
        <v>12</v>
      </c>
      <c r="F7" s="6">
        <v>24</v>
      </c>
      <c r="G7" s="6">
        <f t="shared" ref="G7:J7" si="1">G5</f>
        <v>85</v>
      </c>
      <c r="H7" s="6">
        <f t="shared" si="1"/>
        <v>100</v>
      </c>
      <c r="I7" s="9" t="s">
        <v>25</v>
      </c>
      <c r="J7" s="6">
        <v>80</v>
      </c>
      <c r="K7" s="6"/>
      <c r="L7" s="6"/>
      <c r="M7" s="6"/>
      <c r="N7" s="6"/>
    </row>
    <row r="8" spans="2:14" ht="21" x14ac:dyDescent="0.5">
      <c r="B8" s="6"/>
      <c r="C8" s="6"/>
      <c r="D8" s="6"/>
      <c r="E8" s="6"/>
      <c r="F8" s="6"/>
      <c r="G8" s="6"/>
      <c r="H8" s="6"/>
      <c r="I8" s="9"/>
      <c r="J8" s="6"/>
      <c r="K8" s="6"/>
      <c r="L8" s="6"/>
      <c r="M8" s="6"/>
      <c r="N8" s="6"/>
    </row>
    <row r="9" spans="2:14" ht="21" x14ac:dyDescent="0.5">
      <c r="B9" s="6"/>
      <c r="C9" s="6" t="s">
        <v>19</v>
      </c>
      <c r="D9" s="6" t="s">
        <v>20</v>
      </c>
      <c r="E9" s="6">
        <v>15</v>
      </c>
      <c r="F9" s="6">
        <v>25</v>
      </c>
      <c r="G9" s="6">
        <v>80</v>
      </c>
      <c r="H9" s="6">
        <v>100</v>
      </c>
      <c r="I9" s="9" t="s">
        <v>12</v>
      </c>
      <c r="J9" s="6">
        <v>70</v>
      </c>
      <c r="K9" s="6"/>
      <c r="L9" s="6"/>
      <c r="M9" s="6"/>
      <c r="N9" s="6"/>
    </row>
    <row r="10" spans="2:14" ht="21" x14ac:dyDescent="0.5">
      <c r="B10" s="10"/>
      <c r="C10" s="6"/>
      <c r="D10" s="6"/>
      <c r="E10" s="6"/>
      <c r="F10" s="6"/>
      <c r="G10" s="6"/>
      <c r="H10" s="6"/>
      <c r="I10" s="9"/>
      <c r="J10" s="6"/>
      <c r="K10" s="6"/>
      <c r="L10" s="6"/>
      <c r="M10" s="6"/>
      <c r="N10" s="6"/>
    </row>
    <row r="11" spans="2:14" ht="21" x14ac:dyDescent="0.5">
      <c r="B11" s="6"/>
      <c r="C11" s="6" t="s">
        <v>21</v>
      </c>
      <c r="D11" s="6" t="s">
        <v>22</v>
      </c>
      <c r="E11" s="6">
        <v>10</v>
      </c>
      <c r="F11" s="6">
        <v>22</v>
      </c>
      <c r="G11" s="6">
        <v>80</v>
      </c>
      <c r="H11" s="6">
        <v>100</v>
      </c>
      <c r="I11" s="6" t="s">
        <v>11</v>
      </c>
      <c r="J11" s="6">
        <v>40</v>
      </c>
      <c r="K11" s="6"/>
      <c r="L11" s="6"/>
      <c r="M11" s="6"/>
      <c r="N11" s="6"/>
    </row>
    <row r="12" spans="2:14" ht="21" x14ac:dyDescent="0.5">
      <c r="B12" s="10"/>
      <c r="C12" s="6"/>
      <c r="D12" s="6"/>
      <c r="E12" s="6"/>
      <c r="F12" s="6"/>
      <c r="G12" s="6"/>
      <c r="H12" s="6"/>
      <c r="I12" s="9"/>
      <c r="J12" s="6"/>
      <c r="K12" s="6"/>
      <c r="L12" s="6"/>
      <c r="M12" s="6"/>
      <c r="N12" s="6"/>
    </row>
    <row r="13" spans="2:14" ht="21" x14ac:dyDescent="0.5">
      <c r="B13" s="11" t="s">
        <v>23</v>
      </c>
      <c r="C13" s="6" t="str">
        <f t="shared" ref="B13:D19" si="2">C5</f>
        <v>March-10 April</v>
      </c>
      <c r="D13" s="6" t="str">
        <f t="shared" si="2"/>
        <v>vegetative</v>
      </c>
      <c r="E13" s="6">
        <v>15</v>
      </c>
      <c r="F13" s="6">
        <v>22</v>
      </c>
      <c r="G13" s="6">
        <v>75</v>
      </c>
      <c r="H13" s="6">
        <v>95</v>
      </c>
      <c r="I13" s="9" t="s">
        <v>32</v>
      </c>
      <c r="J13" s="6">
        <v>35</v>
      </c>
      <c r="K13" s="6"/>
      <c r="L13" s="6"/>
      <c r="M13" s="6"/>
      <c r="N13" s="6"/>
    </row>
    <row r="14" spans="2:14" ht="21" x14ac:dyDescent="0.5">
      <c r="B14" s="6"/>
      <c r="C14" s="6"/>
      <c r="D14" s="6"/>
      <c r="E14" s="6"/>
      <c r="F14" s="6"/>
      <c r="G14" s="6"/>
      <c r="H14" s="6"/>
      <c r="I14" s="9"/>
      <c r="J14" s="6"/>
      <c r="K14" s="6"/>
      <c r="L14" s="6"/>
      <c r="M14" s="6"/>
      <c r="N14" s="6"/>
    </row>
    <row r="15" spans="2:14" ht="21" x14ac:dyDescent="0.5">
      <c r="B15" s="6"/>
      <c r="C15" s="6" t="str">
        <f t="shared" si="2"/>
        <v>11 April- 10 May</v>
      </c>
      <c r="D15" s="6" t="str">
        <f t="shared" si="2"/>
        <v xml:space="preserve">flowering </v>
      </c>
      <c r="E15" s="6">
        <v>18</v>
      </c>
      <c r="F15" s="6">
        <v>25</v>
      </c>
      <c r="G15" s="6">
        <v>80</v>
      </c>
      <c r="H15" s="6">
        <v>95</v>
      </c>
      <c r="I15" s="9" t="s">
        <v>11</v>
      </c>
      <c r="J15" s="6">
        <v>45</v>
      </c>
      <c r="K15" s="6"/>
      <c r="L15" s="6"/>
      <c r="M15" s="6"/>
      <c r="N15" s="6"/>
    </row>
    <row r="16" spans="2:14" ht="21" x14ac:dyDescent="0.5">
      <c r="B16" s="6"/>
      <c r="C16" s="6"/>
      <c r="D16" s="6"/>
      <c r="E16" s="6"/>
      <c r="F16" s="6"/>
      <c r="G16" s="6"/>
      <c r="H16" s="6"/>
      <c r="I16" s="9"/>
      <c r="J16" s="6"/>
      <c r="K16" s="6"/>
      <c r="L16" s="6"/>
      <c r="M16" s="6"/>
      <c r="N16" s="6"/>
    </row>
    <row r="17" spans="2:14" ht="21" x14ac:dyDescent="0.5">
      <c r="B17" s="6"/>
      <c r="C17" s="6" t="str">
        <f t="shared" si="2"/>
        <v>11 May- 15 Aug</v>
      </c>
      <c r="D17" s="6" t="str">
        <f t="shared" si="2"/>
        <v>Fruiting Stage</v>
      </c>
      <c r="E17" s="6">
        <v>20</v>
      </c>
      <c r="F17" s="6">
        <v>30</v>
      </c>
      <c r="G17" s="6">
        <v>80</v>
      </c>
      <c r="H17" s="6">
        <v>100</v>
      </c>
      <c r="I17" s="9" t="s">
        <v>33</v>
      </c>
      <c r="J17" s="6">
        <v>75</v>
      </c>
      <c r="K17" s="6"/>
      <c r="L17" s="6"/>
      <c r="M17" s="6"/>
      <c r="N17" s="6"/>
    </row>
    <row r="18" spans="2:14" ht="21" x14ac:dyDescent="0.5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2:14" ht="21" x14ac:dyDescent="0.5">
      <c r="B19" s="10"/>
      <c r="C19" s="6" t="str">
        <f t="shared" si="2"/>
        <v>16 Aug-Nov</v>
      </c>
      <c r="D19" s="6" t="str">
        <f t="shared" si="2"/>
        <v>harvesting stage</v>
      </c>
      <c r="E19" s="6">
        <v>18</v>
      </c>
      <c r="F19" s="6">
        <v>28</v>
      </c>
      <c r="G19" s="6">
        <v>75</v>
      </c>
      <c r="H19" s="6">
        <v>95</v>
      </c>
      <c r="I19" s="6" t="s">
        <v>11</v>
      </c>
      <c r="J19" s="6">
        <v>50</v>
      </c>
      <c r="K19" s="6"/>
      <c r="L19" s="6"/>
      <c r="M19" s="6"/>
      <c r="N19" s="6"/>
    </row>
    <row r="20" spans="2:14" ht="21" x14ac:dyDescent="0.5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2:14" ht="21" x14ac:dyDescent="0.5">
      <c r="B21" s="11" t="s">
        <v>30</v>
      </c>
      <c r="C21" s="6" t="str">
        <f t="shared" ref="B21:D27" si="3">C13</f>
        <v>March-10 April</v>
      </c>
      <c r="D21" s="6" t="str">
        <f t="shared" si="3"/>
        <v>vegetative</v>
      </c>
      <c r="E21" s="6">
        <v>12</v>
      </c>
      <c r="F21" s="6">
        <v>20</v>
      </c>
      <c r="G21" s="6">
        <v>75</v>
      </c>
      <c r="H21" s="6">
        <v>90</v>
      </c>
      <c r="I21" s="6" t="s">
        <v>32</v>
      </c>
      <c r="J21" s="6">
        <v>30</v>
      </c>
      <c r="K21" s="6"/>
      <c r="L21" s="6"/>
      <c r="M21" s="6"/>
      <c r="N21" s="6"/>
    </row>
    <row r="22" spans="2:14" ht="21" x14ac:dyDescent="0.5">
      <c r="B22" s="11" t="s">
        <v>31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2:14" ht="21" x14ac:dyDescent="0.5">
      <c r="B23" s="6"/>
      <c r="C23" s="6" t="str">
        <f t="shared" si="3"/>
        <v>11 April- 10 May</v>
      </c>
      <c r="D23" s="6" t="str">
        <f t="shared" si="3"/>
        <v xml:space="preserve">flowering </v>
      </c>
      <c r="E23" s="6">
        <v>15</v>
      </c>
      <c r="F23" s="6">
        <v>22</v>
      </c>
      <c r="G23" s="6">
        <v>80</v>
      </c>
      <c r="H23" s="6">
        <v>95</v>
      </c>
      <c r="I23" s="6" t="s">
        <v>11</v>
      </c>
      <c r="J23" s="6">
        <v>40</v>
      </c>
      <c r="K23" s="6"/>
    </row>
    <row r="24" spans="2:14" ht="21" x14ac:dyDescent="0.5"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2:14" ht="21" x14ac:dyDescent="0.5">
      <c r="B25" s="6"/>
      <c r="C25" s="6" t="str">
        <f t="shared" si="3"/>
        <v>11 May- 15 Aug</v>
      </c>
      <c r="D25" s="6" t="str">
        <f t="shared" si="3"/>
        <v>Fruiting Stage</v>
      </c>
      <c r="E25" s="6">
        <v>18</v>
      </c>
      <c r="F25" s="6">
        <v>28</v>
      </c>
      <c r="G25" s="6">
        <v>85</v>
      </c>
      <c r="H25" s="6">
        <v>100</v>
      </c>
      <c r="I25" s="6" t="s">
        <v>33</v>
      </c>
      <c r="J25" s="6">
        <v>80</v>
      </c>
      <c r="K25" s="6"/>
    </row>
    <row r="26" spans="2:14" ht="21" x14ac:dyDescent="0.5">
      <c r="B26" s="10"/>
      <c r="C26" s="6"/>
      <c r="D26" s="6"/>
      <c r="E26" s="6"/>
      <c r="F26" s="6"/>
      <c r="G26" s="6"/>
      <c r="H26" s="6"/>
      <c r="I26" s="6"/>
      <c r="J26" s="6"/>
      <c r="K26" s="6"/>
    </row>
    <row r="27" spans="2:14" ht="21" x14ac:dyDescent="0.5">
      <c r="B27" s="6"/>
      <c r="C27" s="6" t="str">
        <f t="shared" si="3"/>
        <v>16 Aug-Nov</v>
      </c>
      <c r="D27" s="6" t="str">
        <f t="shared" si="3"/>
        <v>harvesting stage</v>
      </c>
      <c r="E27" s="6">
        <v>15</v>
      </c>
      <c r="F27" s="6">
        <v>25</v>
      </c>
      <c r="G27" s="6">
        <v>85</v>
      </c>
      <c r="H27" s="6">
        <v>100</v>
      </c>
      <c r="I27" s="6" t="s">
        <v>34</v>
      </c>
      <c r="J27" s="6">
        <v>70</v>
      </c>
      <c r="K27" s="6"/>
    </row>
    <row r="28" spans="2:14" ht="21" x14ac:dyDescent="0.5"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2:14" ht="21" x14ac:dyDescent="0.5">
      <c r="B29" s="11" t="s">
        <v>26</v>
      </c>
      <c r="C29" s="6" t="str">
        <f t="shared" ref="B29:D35" si="4">C21</f>
        <v>March-10 April</v>
      </c>
      <c r="D29" s="6" t="str">
        <f t="shared" si="4"/>
        <v>vegetative</v>
      </c>
      <c r="E29" s="6">
        <v>10</v>
      </c>
      <c r="F29" s="6">
        <v>22</v>
      </c>
      <c r="G29" s="6">
        <v>60</v>
      </c>
      <c r="H29" s="6">
        <v>90</v>
      </c>
      <c r="I29" s="6" t="s">
        <v>35</v>
      </c>
      <c r="J29" s="6">
        <v>60</v>
      </c>
      <c r="K29" s="6"/>
    </row>
    <row r="30" spans="2:14" ht="21" x14ac:dyDescent="0.5"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2:14" ht="21" x14ac:dyDescent="0.5">
      <c r="B31" s="6"/>
      <c r="C31" s="6" t="str">
        <f t="shared" si="4"/>
        <v>11 April- 10 May</v>
      </c>
      <c r="D31" s="6" t="str">
        <f t="shared" si="4"/>
        <v xml:space="preserve">flowering </v>
      </c>
      <c r="E31" s="6">
        <v>12</v>
      </c>
      <c r="F31" s="6">
        <v>25</v>
      </c>
      <c r="G31" s="6">
        <v>60</v>
      </c>
      <c r="H31" s="6">
        <v>90</v>
      </c>
      <c r="I31" s="6" t="s">
        <v>36</v>
      </c>
      <c r="J31" s="6">
        <v>75</v>
      </c>
      <c r="K31" s="6"/>
    </row>
    <row r="32" spans="2:14" ht="21" x14ac:dyDescent="0.5"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2:12" ht="21" x14ac:dyDescent="0.5">
      <c r="B33" s="10"/>
      <c r="C33" s="6" t="str">
        <f t="shared" si="4"/>
        <v>11 May- 15 Aug</v>
      </c>
      <c r="D33" s="6" t="str">
        <f t="shared" si="4"/>
        <v>Fruiting Stage</v>
      </c>
      <c r="E33" s="6">
        <v>15</v>
      </c>
      <c r="F33" s="6">
        <v>18</v>
      </c>
      <c r="G33" s="6">
        <v>55</v>
      </c>
      <c r="H33" s="6">
        <v>85</v>
      </c>
      <c r="I33" s="6" t="s">
        <v>35</v>
      </c>
      <c r="J33" s="6">
        <v>65</v>
      </c>
      <c r="K33" s="6"/>
    </row>
    <row r="34" spans="2:12" ht="21" x14ac:dyDescent="0.5"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2:12" ht="21" x14ac:dyDescent="0.5">
      <c r="B35" s="6"/>
      <c r="C35" s="6" t="str">
        <f t="shared" si="4"/>
        <v>16 Aug-Nov</v>
      </c>
      <c r="D35" s="6" t="str">
        <f t="shared" si="4"/>
        <v>harvesting stage</v>
      </c>
      <c r="E35" s="6">
        <v>10</v>
      </c>
      <c r="F35" s="6">
        <v>22</v>
      </c>
      <c r="G35" s="6">
        <v>60</v>
      </c>
      <c r="H35" s="6">
        <v>85</v>
      </c>
      <c r="I35" s="6" t="s">
        <v>35</v>
      </c>
      <c r="J35" s="6">
        <v>35</v>
      </c>
      <c r="K35" s="6"/>
    </row>
    <row r="36" spans="2:12" ht="21" x14ac:dyDescent="0.5"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2:12" ht="21" x14ac:dyDescent="0.5">
      <c r="B37" s="11" t="s">
        <v>27</v>
      </c>
      <c r="C37" s="6" t="str">
        <f t="shared" ref="B37:D43" si="5">C29</f>
        <v>March-10 April</v>
      </c>
      <c r="D37" s="6" t="str">
        <f t="shared" si="5"/>
        <v>vegetative</v>
      </c>
      <c r="E37" s="6">
        <v>10</v>
      </c>
      <c r="F37" s="6">
        <v>20</v>
      </c>
      <c r="G37" s="6">
        <v>80</v>
      </c>
      <c r="H37" s="6">
        <v>100</v>
      </c>
      <c r="I37" s="6" t="s">
        <v>37</v>
      </c>
      <c r="J37" s="6">
        <v>40</v>
      </c>
      <c r="K37" s="6"/>
    </row>
    <row r="38" spans="2:12" ht="21" x14ac:dyDescent="0.5"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2:12" ht="21" x14ac:dyDescent="0.5">
      <c r="B39" s="6"/>
      <c r="C39" s="6" t="str">
        <f t="shared" si="5"/>
        <v>11 April- 10 May</v>
      </c>
      <c r="D39" s="6" t="str">
        <f t="shared" si="5"/>
        <v xml:space="preserve">flowering </v>
      </c>
      <c r="E39" s="6">
        <v>12</v>
      </c>
      <c r="F39" s="6">
        <v>22</v>
      </c>
      <c r="G39" s="6">
        <v>80</v>
      </c>
      <c r="H39" s="6">
        <v>100</v>
      </c>
      <c r="I39" s="6" t="s">
        <v>37</v>
      </c>
      <c r="J39" s="6">
        <v>45</v>
      </c>
      <c r="K39" s="6"/>
    </row>
    <row r="40" spans="2:12" ht="21" x14ac:dyDescent="0.5">
      <c r="B40" s="10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2:12" ht="21" x14ac:dyDescent="0.5">
      <c r="B41" s="6"/>
      <c r="C41" s="6" t="str">
        <f t="shared" si="5"/>
        <v>11 May- 15 Aug</v>
      </c>
      <c r="D41" s="6" t="str">
        <f t="shared" si="5"/>
        <v>Fruiting Stage</v>
      </c>
      <c r="E41" s="6">
        <v>15</v>
      </c>
      <c r="F41" s="6">
        <v>28</v>
      </c>
      <c r="G41" s="6">
        <v>85</v>
      </c>
      <c r="H41" s="6">
        <v>100</v>
      </c>
      <c r="I41" s="6" t="s">
        <v>38</v>
      </c>
      <c r="J41" s="6">
        <v>75</v>
      </c>
      <c r="K41" s="6"/>
      <c r="L41" s="6"/>
    </row>
    <row r="42" spans="2:12" ht="21" x14ac:dyDescent="0.5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2:12" ht="21" x14ac:dyDescent="0.5">
      <c r="B43" s="6"/>
      <c r="C43" s="6" t="str">
        <f t="shared" si="5"/>
        <v>16 Aug-Nov</v>
      </c>
      <c r="D43" s="6" t="str">
        <f t="shared" si="5"/>
        <v>harvesting stage</v>
      </c>
      <c r="E43" s="6">
        <v>10</v>
      </c>
      <c r="F43" s="6">
        <v>24</v>
      </c>
      <c r="G43" s="6">
        <v>80</v>
      </c>
      <c r="H43" s="6">
        <v>100</v>
      </c>
      <c r="I43" s="6" t="s">
        <v>37</v>
      </c>
      <c r="J43" s="6">
        <v>60</v>
      </c>
      <c r="K43" s="6"/>
      <c r="L43" s="6"/>
    </row>
    <row r="44" spans="2:12" ht="21" x14ac:dyDescent="0.5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2:12" ht="21" x14ac:dyDescent="0.5">
      <c r="B45" s="11" t="s">
        <v>28</v>
      </c>
      <c r="C45" s="6" t="str">
        <f t="shared" ref="B45:I51" si="6">C37</f>
        <v>March-10 April</v>
      </c>
      <c r="D45" s="6" t="str">
        <f t="shared" si="6"/>
        <v>vegetative</v>
      </c>
      <c r="E45" s="6">
        <v>10</v>
      </c>
      <c r="F45" s="6">
        <v>20</v>
      </c>
      <c r="G45" s="6">
        <v>80</v>
      </c>
      <c r="H45" s="6">
        <v>100</v>
      </c>
      <c r="I45" s="6" t="s">
        <v>37</v>
      </c>
      <c r="J45" s="6">
        <v>40</v>
      </c>
      <c r="K45" s="6"/>
      <c r="L45" s="6"/>
    </row>
    <row r="46" spans="2:12" ht="21" x14ac:dyDescent="0.5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2:12" ht="21" x14ac:dyDescent="0.5">
      <c r="B47" s="10"/>
      <c r="C47" s="6" t="str">
        <f t="shared" si="6"/>
        <v>11 April- 10 May</v>
      </c>
      <c r="D47" s="6" t="str">
        <f t="shared" si="6"/>
        <v xml:space="preserve">flowering </v>
      </c>
      <c r="E47" s="6">
        <v>12</v>
      </c>
      <c r="F47" s="6">
        <v>24</v>
      </c>
      <c r="G47" s="6">
        <v>80</v>
      </c>
      <c r="H47" s="6">
        <v>100</v>
      </c>
      <c r="I47" s="6" t="s">
        <v>37</v>
      </c>
      <c r="J47" s="6">
        <v>45</v>
      </c>
      <c r="K47" s="6"/>
      <c r="L47" s="6"/>
    </row>
    <row r="48" spans="2:12" ht="21" x14ac:dyDescent="0.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2:12" ht="21" x14ac:dyDescent="0.5">
      <c r="B49" s="6"/>
      <c r="C49" s="6" t="str">
        <f t="shared" si="6"/>
        <v>11 May- 15 Aug</v>
      </c>
      <c r="D49" s="6" t="str">
        <f t="shared" si="6"/>
        <v>Fruiting Stage</v>
      </c>
      <c r="E49" s="6">
        <v>15</v>
      </c>
      <c r="F49" s="6">
        <v>28</v>
      </c>
      <c r="G49" s="6">
        <v>85</v>
      </c>
      <c r="H49" s="6">
        <v>100</v>
      </c>
      <c r="I49" s="6" t="s">
        <v>39</v>
      </c>
      <c r="J49" s="6">
        <v>75</v>
      </c>
      <c r="K49" s="6"/>
      <c r="L49" s="6"/>
    </row>
    <row r="50" spans="2:12" ht="21" x14ac:dyDescent="0.5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2:12" ht="21" x14ac:dyDescent="0.5">
      <c r="B51" s="6"/>
      <c r="C51" s="6" t="str">
        <f t="shared" si="6"/>
        <v>16 Aug-Nov</v>
      </c>
      <c r="D51" s="6" t="str">
        <f t="shared" si="6"/>
        <v>harvesting stage</v>
      </c>
      <c r="E51" s="6">
        <v>10</v>
      </c>
      <c r="F51" s="6">
        <v>24</v>
      </c>
      <c r="G51" s="6">
        <v>80</v>
      </c>
      <c r="H51" s="6">
        <v>100</v>
      </c>
      <c r="I51" s="6" t="s">
        <v>38</v>
      </c>
      <c r="J51" s="6">
        <v>60</v>
      </c>
      <c r="K51" s="6"/>
      <c r="L51" s="6"/>
    </row>
    <row r="52" spans="2:12" ht="21" x14ac:dyDescent="0.5">
      <c r="B52" s="6"/>
      <c r="C52" s="6"/>
      <c r="D52" s="6"/>
      <c r="E52" s="6"/>
      <c r="F52" s="6"/>
      <c r="I52" s="6"/>
      <c r="J52" s="6"/>
      <c r="K52" s="6"/>
      <c r="L52" s="6"/>
    </row>
    <row r="53" spans="2:12" ht="21" x14ac:dyDescent="0.5">
      <c r="B53" s="11" t="s">
        <v>29</v>
      </c>
      <c r="C53" s="6" t="str">
        <f t="shared" ref="B53:D59" si="7">C45</f>
        <v>March-10 April</v>
      </c>
      <c r="D53" s="6" t="str">
        <f t="shared" si="7"/>
        <v>vegetative</v>
      </c>
      <c r="E53" s="6">
        <v>10</v>
      </c>
      <c r="F53" s="6">
        <v>20</v>
      </c>
      <c r="G53" s="6">
        <v>75</v>
      </c>
      <c r="H53" s="6">
        <v>90</v>
      </c>
      <c r="I53" s="6" t="s">
        <v>11</v>
      </c>
      <c r="J53" s="6">
        <v>25</v>
      </c>
      <c r="K53" s="6"/>
      <c r="L53" s="6"/>
    </row>
    <row r="54" spans="2:12" ht="21" x14ac:dyDescent="0.5">
      <c r="B54" s="10"/>
      <c r="C54" s="6"/>
      <c r="D54" s="6"/>
      <c r="E54" s="6"/>
      <c r="F54" s="6"/>
      <c r="G54" s="6"/>
      <c r="H54" s="6"/>
      <c r="I54" s="9"/>
      <c r="J54" s="6"/>
      <c r="K54" s="6"/>
      <c r="L54" s="6"/>
    </row>
    <row r="55" spans="2:12" ht="21" x14ac:dyDescent="0.5">
      <c r="B55" s="6"/>
      <c r="C55" s="6" t="str">
        <f t="shared" si="7"/>
        <v>11 April- 10 May</v>
      </c>
      <c r="D55" s="6" t="str">
        <f t="shared" si="7"/>
        <v xml:space="preserve">flowering </v>
      </c>
      <c r="E55" s="6">
        <v>12</v>
      </c>
      <c r="F55" s="6">
        <v>24</v>
      </c>
      <c r="G55" s="6">
        <v>80</v>
      </c>
      <c r="H55" s="6">
        <v>95</v>
      </c>
      <c r="I55" s="6" t="s">
        <v>13</v>
      </c>
      <c r="J55" s="6">
        <v>35</v>
      </c>
      <c r="K55" s="6"/>
      <c r="L55" s="6"/>
    </row>
    <row r="56" spans="2:12" ht="21" x14ac:dyDescent="0.5">
      <c r="B56" s="6"/>
      <c r="C56" s="6"/>
      <c r="D56" s="6"/>
      <c r="E56" s="6"/>
      <c r="F56" s="6"/>
      <c r="G56" s="6"/>
      <c r="H56" s="6"/>
      <c r="I56" s="9"/>
      <c r="J56" s="6"/>
      <c r="K56" s="6"/>
      <c r="L56" s="6"/>
    </row>
    <row r="57" spans="2:12" ht="21" x14ac:dyDescent="0.5">
      <c r="B57" s="6"/>
      <c r="C57" s="6" t="str">
        <f t="shared" si="7"/>
        <v>11 May- 15 Aug</v>
      </c>
      <c r="D57" s="6" t="str">
        <f t="shared" si="7"/>
        <v>Fruiting Stage</v>
      </c>
      <c r="E57" s="6">
        <v>18</v>
      </c>
      <c r="F57" s="6">
        <v>28</v>
      </c>
      <c r="G57" s="6">
        <v>85</v>
      </c>
      <c r="H57" s="6">
        <v>100</v>
      </c>
      <c r="I57" s="9" t="s">
        <v>40</v>
      </c>
      <c r="J57" s="6">
        <v>75</v>
      </c>
      <c r="K57" s="6"/>
      <c r="L57" s="6"/>
    </row>
    <row r="58" spans="2:12" ht="21" x14ac:dyDescent="0.5">
      <c r="B58" s="6"/>
      <c r="C58" s="6"/>
      <c r="D58" s="6"/>
      <c r="E58" s="6"/>
      <c r="F58" s="6"/>
      <c r="G58" s="6"/>
      <c r="H58" s="6"/>
      <c r="I58" s="9"/>
      <c r="J58" s="6"/>
      <c r="K58" s="6"/>
      <c r="L58" s="6"/>
    </row>
    <row r="59" spans="2:12" ht="21" x14ac:dyDescent="0.5">
      <c r="B59" s="6"/>
      <c r="C59" s="6" t="str">
        <f t="shared" si="7"/>
        <v>16 Aug-Nov</v>
      </c>
      <c r="D59" s="6" t="str">
        <f t="shared" si="7"/>
        <v>harvesting stage</v>
      </c>
      <c r="E59" s="6">
        <v>15</v>
      </c>
      <c r="F59" s="6">
        <v>25</v>
      </c>
      <c r="G59" s="6">
        <v>85</v>
      </c>
      <c r="H59" s="6">
        <v>100</v>
      </c>
      <c r="I59" s="9" t="s">
        <v>40</v>
      </c>
      <c r="J59" s="6">
        <v>80</v>
      </c>
      <c r="K59" s="6"/>
      <c r="L59" s="6"/>
    </row>
    <row r="60" spans="2:12" ht="21" x14ac:dyDescent="0.5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2:12" ht="21" x14ac:dyDescent="0.5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2:12" ht="21" x14ac:dyDescent="0.5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2:12" ht="21" x14ac:dyDescent="0.5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2:12" ht="21" x14ac:dyDescent="0.5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2:12" ht="21" x14ac:dyDescent="0.5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2:12" ht="21" x14ac:dyDescent="0.5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2:12" ht="21" x14ac:dyDescent="0.5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2:12" ht="21" x14ac:dyDescent="0.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spans="2:12" ht="21" x14ac:dyDescent="0.5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spans="2:12" ht="21" x14ac:dyDescent="0.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2:12" ht="21" x14ac:dyDescent="0.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2:12" ht="21" x14ac:dyDescent="0.5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2:12" ht="21" x14ac:dyDescent="0.5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spans="2:12" ht="21" x14ac:dyDescent="0.5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spans="2:12" ht="21" x14ac:dyDescent="0.5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spans="2:12" ht="21" x14ac:dyDescent="0.5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spans="2:12" ht="21" x14ac:dyDescent="0.5">
      <c r="B77" s="6"/>
      <c r="C77" s="6"/>
      <c r="D77" s="6"/>
      <c r="E77" s="6"/>
      <c r="F77" s="6"/>
      <c r="G77" s="6"/>
      <c r="H77" s="6"/>
      <c r="I77" s="6"/>
      <c r="J77" s="6"/>
      <c r="K77" s="6"/>
    </row>
    <row r="78" spans="2:12" ht="21" x14ac:dyDescent="0.5">
      <c r="B78" s="6"/>
      <c r="C78" s="6"/>
      <c r="D78" s="6"/>
      <c r="E78" s="6"/>
      <c r="F78" s="6"/>
      <c r="G78" s="6"/>
      <c r="H78" s="6"/>
      <c r="I78" s="6"/>
      <c r="J78" s="6"/>
      <c r="K78" s="6"/>
    </row>
    <row r="79" spans="2:12" ht="21" x14ac:dyDescent="0.5">
      <c r="B79" s="6"/>
      <c r="C79" s="6"/>
      <c r="D79" s="6"/>
      <c r="E79" s="6"/>
      <c r="F79" s="6"/>
      <c r="G79" s="6"/>
      <c r="H79" s="6"/>
      <c r="I79" s="6"/>
      <c r="J79" s="6"/>
      <c r="K7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2026-04-24T09:25:31Z</dcterms:modified>
</cp:coreProperties>
</file>