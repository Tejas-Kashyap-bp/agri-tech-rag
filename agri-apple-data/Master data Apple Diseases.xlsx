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yush\OneDrive\Desktop\apple data updated\"/>
    </mc:Choice>
  </mc:AlternateContent>
  <xr:revisionPtr revIDLastSave="0" documentId="13_ncr:1_{9B7EE3F9-DE36-4095-9778-6362E92D46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H6" i="1"/>
  <c r="C9" i="1"/>
  <c r="C13" i="1" s="1"/>
  <c r="C17" i="1" s="1"/>
  <c r="C21" i="1" s="1"/>
  <c r="C25" i="1" s="1"/>
  <c r="C29" i="1" s="1"/>
  <c r="D9" i="1"/>
  <c r="D13" i="1" s="1"/>
  <c r="D17" i="1" s="1"/>
  <c r="D21" i="1" s="1"/>
  <c r="D25" i="1" s="1"/>
  <c r="D29" i="1" s="1"/>
  <c r="C10" i="1"/>
  <c r="C14" i="1" s="1"/>
  <c r="C18" i="1" s="1"/>
  <c r="C22" i="1" s="1"/>
  <c r="C26" i="1" s="1"/>
  <c r="C30" i="1" s="1"/>
  <c r="D10" i="1"/>
  <c r="D14" i="1" s="1"/>
  <c r="D18" i="1" s="1"/>
  <c r="D22" i="1" s="1"/>
  <c r="D26" i="1" s="1"/>
  <c r="D30" i="1" s="1"/>
  <c r="C11" i="1"/>
  <c r="C15" i="1" s="1"/>
  <c r="C19" i="1" s="1"/>
  <c r="C23" i="1" s="1"/>
  <c r="C27" i="1" s="1"/>
  <c r="C31" i="1" s="1"/>
  <c r="D11" i="1"/>
  <c r="D15" i="1" s="1"/>
  <c r="D19" i="1" s="1"/>
  <c r="D23" i="1" s="1"/>
  <c r="D27" i="1" s="1"/>
  <c r="D31" i="1" s="1"/>
  <c r="C12" i="1"/>
  <c r="C16" i="1" s="1"/>
  <c r="C20" i="1" s="1"/>
  <c r="C24" i="1" s="1"/>
  <c r="C28" i="1" s="1"/>
  <c r="C32" i="1" s="1"/>
  <c r="D12" i="1"/>
  <c r="D16" i="1" s="1"/>
  <c r="D20" i="1" s="1"/>
  <c r="D24" i="1" s="1"/>
  <c r="D28" i="1" s="1"/>
  <c r="D32" i="1" s="1"/>
  <c r="G4" i="1"/>
  <c r="H4" i="1"/>
</calcChain>
</file>

<file path=xl/sharedStrings.xml><?xml version="1.0" encoding="utf-8"?>
<sst xmlns="http://schemas.openxmlformats.org/spreadsheetml/2006/main" count="75" uniqueCount="40">
  <si>
    <t>Crop</t>
  </si>
  <si>
    <t>Disease name</t>
  </si>
  <si>
    <t>Crop Age (Days)</t>
  </si>
  <si>
    <t>Stage</t>
  </si>
  <si>
    <t>Temp</t>
  </si>
  <si>
    <t>Min</t>
  </si>
  <si>
    <t>Max</t>
  </si>
  <si>
    <t>Humidity %</t>
  </si>
  <si>
    <t>Duration (hrs)</t>
  </si>
  <si>
    <t>Risk %</t>
  </si>
  <si>
    <t>vegetative</t>
  </si>
  <si>
    <t>8--12</t>
  </si>
  <si>
    <t>6--12</t>
  </si>
  <si>
    <t>10--12</t>
  </si>
  <si>
    <t>Apple</t>
  </si>
  <si>
    <t>Apple Scab</t>
  </si>
  <si>
    <t>March-10 April</t>
  </si>
  <si>
    <t>11 April- 10 May</t>
  </si>
  <si>
    <t xml:space="preserve">flowering </t>
  </si>
  <si>
    <t>11 May- 15 Aug</t>
  </si>
  <si>
    <t>Fruiting Stage</t>
  </si>
  <si>
    <t>16 Aug-Nov</t>
  </si>
  <si>
    <t>harvesting stage</t>
  </si>
  <si>
    <t>Alternaria Leaf Blotch</t>
  </si>
  <si>
    <t>9--12</t>
  </si>
  <si>
    <t>9--16</t>
  </si>
  <si>
    <t>Powdery Mildew</t>
  </si>
  <si>
    <t>Collar Rot / Crown Rot</t>
  </si>
  <si>
    <t>Root Rot</t>
  </si>
  <si>
    <t>Sooty Blotch and Flyspeck</t>
  </si>
  <si>
    <t>8--10</t>
  </si>
  <si>
    <t>10--16</t>
  </si>
  <si>
    <t>10--14</t>
  </si>
  <si>
    <t>6--8</t>
  </si>
  <si>
    <t>6--10</t>
  </si>
  <si>
    <t>24--48</t>
  </si>
  <si>
    <t>24--72</t>
  </si>
  <si>
    <t>48--72</t>
  </si>
  <si>
    <t>12--24</t>
  </si>
  <si>
    <t>Marssonina Leaf Blotch / Premature Leaf 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</si>
</sst>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" fontId="4" fillId="0" borderId="0" xfId="0" applyNumberFormat="1" applyFont="1"/>
    <xf numFmtId="17" fontId="4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2"/>
  <sheetViews>
    <sheetView tabSelected="1" zoomScale="61" workbookViewId="0">
      <selection activeCell="N6" sqref="N6"/>
    </sheetView>
  </sheetViews>
  <sheetFormatPr defaultRowHeight="14.5" x14ac:dyDescent="0.35"/>
  <cols>
    <col min="2" max="2" width="30.90625" customWidth="1"/>
    <col min="3" max="3" width="23.81640625" customWidth="1"/>
    <col min="4" max="4" width="26.7265625" customWidth="1"/>
    <col min="5" max="5" width="12" customWidth="1"/>
    <col min="9" max="9" width="18.54296875" customWidth="1"/>
  </cols>
  <sheetData>
    <row r="2" spans="2:14" ht="26" x14ac:dyDescent="0.6">
      <c r="H2" s="6" t="s">
        <v>0</v>
      </c>
      <c r="I2" s="6" t="s">
        <v>14</v>
      </c>
      <c r="J2" s="1"/>
    </row>
    <row r="3" spans="2:14" ht="21" x14ac:dyDescent="0.5">
      <c r="B3" s="2" t="s">
        <v>1</v>
      </c>
      <c r="C3" s="2" t="s">
        <v>2</v>
      </c>
      <c r="D3" s="2" t="s">
        <v>3</v>
      </c>
      <c r="E3" s="8" t="s">
        <v>4</v>
      </c>
      <c r="F3" s="8"/>
      <c r="G3" s="8" t="s">
        <v>7</v>
      </c>
      <c r="H3" s="7"/>
      <c r="I3" s="2" t="s">
        <v>8</v>
      </c>
      <c r="J3" s="3" t="s">
        <v>9</v>
      </c>
      <c r="K3" s="3"/>
    </row>
    <row r="4" spans="2:14" ht="21" x14ac:dyDescent="0.5">
      <c r="B4" s="3"/>
      <c r="C4" s="3"/>
      <c r="D4" s="3"/>
      <c r="E4" s="3" t="s">
        <v>5</v>
      </c>
      <c r="F4" s="3" t="s">
        <v>6</v>
      </c>
      <c r="G4" s="3" t="str">
        <f t="shared" ref="G4:H4" si="0">E4</f>
        <v>Min</v>
      </c>
      <c r="H4" s="3" t="str">
        <f t="shared" si="0"/>
        <v>Max</v>
      </c>
      <c r="I4" s="3"/>
      <c r="J4" s="3"/>
      <c r="K4" s="3"/>
      <c r="L4" s="3"/>
      <c r="M4" s="3"/>
      <c r="N4" s="3"/>
    </row>
    <row r="5" spans="2:14" ht="21" x14ac:dyDescent="0.5">
      <c r="B5" s="3" t="s">
        <v>15</v>
      </c>
      <c r="C5" s="5" t="s">
        <v>16</v>
      </c>
      <c r="D5" s="3" t="s">
        <v>10</v>
      </c>
      <c r="E5" s="3">
        <v>10</v>
      </c>
      <c r="F5" s="3">
        <v>20</v>
      </c>
      <c r="G5" s="3">
        <v>85</v>
      </c>
      <c r="H5" s="3">
        <v>100</v>
      </c>
      <c r="I5" s="4" t="s">
        <v>24</v>
      </c>
      <c r="J5" s="3">
        <v>60</v>
      </c>
      <c r="K5" s="3"/>
      <c r="L5" s="3"/>
      <c r="M5" s="3"/>
      <c r="N5" s="3"/>
    </row>
    <row r="6" spans="2:14" ht="21" x14ac:dyDescent="0.5">
      <c r="B6" s="3" t="s">
        <v>15</v>
      </c>
      <c r="C6" s="3" t="s">
        <v>17</v>
      </c>
      <c r="D6" s="3" t="s">
        <v>18</v>
      </c>
      <c r="E6" s="3">
        <v>12</v>
      </c>
      <c r="F6" s="3">
        <v>24</v>
      </c>
      <c r="G6" s="3">
        <f>G5</f>
        <v>85</v>
      </c>
      <c r="H6" s="3">
        <f>H5</f>
        <v>100</v>
      </c>
      <c r="I6" s="4" t="s">
        <v>25</v>
      </c>
      <c r="J6" s="3">
        <v>80</v>
      </c>
      <c r="K6" s="3"/>
      <c r="L6" s="3"/>
      <c r="M6" s="3"/>
      <c r="N6" s="3"/>
    </row>
    <row r="7" spans="2:14" ht="21" x14ac:dyDescent="0.5">
      <c r="B7" s="3" t="s">
        <v>15</v>
      </c>
      <c r="C7" s="3" t="s">
        <v>19</v>
      </c>
      <c r="D7" s="3" t="s">
        <v>20</v>
      </c>
      <c r="E7" s="3">
        <v>15</v>
      </c>
      <c r="F7" s="3">
        <v>25</v>
      </c>
      <c r="G7" s="3">
        <v>80</v>
      </c>
      <c r="H7" s="3">
        <v>100</v>
      </c>
      <c r="I7" s="4" t="s">
        <v>12</v>
      </c>
      <c r="J7" s="3">
        <v>70</v>
      </c>
      <c r="K7" s="3"/>
      <c r="L7" s="3"/>
      <c r="M7" s="3"/>
      <c r="N7" s="3"/>
    </row>
    <row r="8" spans="2:14" ht="21" x14ac:dyDescent="0.5">
      <c r="B8" s="3" t="s">
        <v>15</v>
      </c>
      <c r="C8" s="3" t="s">
        <v>21</v>
      </c>
      <c r="D8" s="3" t="s">
        <v>22</v>
      </c>
      <c r="E8" s="3">
        <v>10</v>
      </c>
      <c r="F8" s="3">
        <v>22</v>
      </c>
      <c r="G8" s="3">
        <v>80</v>
      </c>
      <c r="H8" s="3">
        <v>100</v>
      </c>
      <c r="I8" s="3" t="s">
        <v>11</v>
      </c>
      <c r="J8" s="3">
        <v>40</v>
      </c>
      <c r="K8" s="3"/>
      <c r="L8" s="3"/>
      <c r="M8" s="3"/>
      <c r="N8" s="3"/>
    </row>
    <row r="9" spans="2:14" ht="21" x14ac:dyDescent="0.5">
      <c r="B9" s="3" t="s">
        <v>23</v>
      </c>
      <c r="C9" s="3" t="str">
        <f t="shared" ref="C9:D31" si="1">C5</f>
        <v>March-10 April</v>
      </c>
      <c r="D9" s="3" t="str">
        <f t="shared" si="1"/>
        <v>vegetative</v>
      </c>
      <c r="E9" s="3">
        <v>15</v>
      </c>
      <c r="F9" s="3">
        <v>22</v>
      </c>
      <c r="G9" s="3">
        <v>75</v>
      </c>
      <c r="H9" s="3">
        <v>95</v>
      </c>
      <c r="I9" s="4" t="s">
        <v>30</v>
      </c>
      <c r="J9" s="3">
        <v>35</v>
      </c>
      <c r="K9" s="3"/>
      <c r="L9" s="3"/>
      <c r="M9" s="3"/>
      <c r="N9" s="3"/>
    </row>
    <row r="10" spans="2:14" ht="21" x14ac:dyDescent="0.5">
      <c r="B10" s="3" t="s">
        <v>23</v>
      </c>
      <c r="C10" s="3" t="str">
        <f t="shared" si="1"/>
        <v>11 April- 10 May</v>
      </c>
      <c r="D10" s="3" t="str">
        <f t="shared" si="1"/>
        <v xml:space="preserve">flowering </v>
      </c>
      <c r="E10" s="3">
        <v>18</v>
      </c>
      <c r="F10" s="3">
        <v>25</v>
      </c>
      <c r="G10" s="3">
        <v>80</v>
      </c>
      <c r="H10" s="3">
        <v>95</v>
      </c>
      <c r="I10" s="4" t="s">
        <v>11</v>
      </c>
      <c r="J10" s="3">
        <v>45</v>
      </c>
      <c r="K10" s="3"/>
      <c r="L10" s="3"/>
      <c r="M10" s="3"/>
      <c r="N10" s="3"/>
    </row>
    <row r="11" spans="2:14" ht="21" x14ac:dyDescent="0.5">
      <c r="B11" s="3" t="s">
        <v>23</v>
      </c>
      <c r="C11" s="3" t="str">
        <f t="shared" si="1"/>
        <v>11 May- 15 Aug</v>
      </c>
      <c r="D11" s="3" t="str">
        <f t="shared" si="1"/>
        <v>Fruiting Stage</v>
      </c>
      <c r="E11" s="3">
        <v>20</v>
      </c>
      <c r="F11" s="3">
        <v>30</v>
      </c>
      <c r="G11" s="3">
        <v>80</v>
      </c>
      <c r="H11" s="3">
        <v>100</v>
      </c>
      <c r="I11" s="4" t="s">
        <v>31</v>
      </c>
      <c r="J11" s="3">
        <v>75</v>
      </c>
      <c r="K11" s="3"/>
      <c r="L11" s="3"/>
      <c r="M11" s="3"/>
      <c r="N11" s="3"/>
    </row>
    <row r="12" spans="2:14" ht="21" x14ac:dyDescent="0.5">
      <c r="B12" s="3" t="s">
        <v>23</v>
      </c>
      <c r="C12" s="3" t="str">
        <f t="shared" si="1"/>
        <v>16 Aug-Nov</v>
      </c>
      <c r="D12" s="3" t="str">
        <f t="shared" si="1"/>
        <v>harvesting stage</v>
      </c>
      <c r="E12" s="3">
        <v>18</v>
      </c>
      <c r="F12" s="3">
        <v>28</v>
      </c>
      <c r="G12" s="3">
        <v>75</v>
      </c>
      <c r="H12" s="3">
        <v>95</v>
      </c>
      <c r="I12" s="3" t="s">
        <v>11</v>
      </c>
      <c r="J12" s="3">
        <v>50</v>
      </c>
      <c r="K12" s="3"/>
      <c r="L12" s="3"/>
      <c r="M12" s="3"/>
      <c r="N12" s="3"/>
    </row>
    <row r="13" spans="2:14" ht="21" x14ac:dyDescent="0.5">
      <c r="B13" s="3" t="s">
        <v>39</v>
      </c>
      <c r="C13" s="3" t="str">
        <f t="shared" si="1"/>
        <v>March-10 April</v>
      </c>
      <c r="D13" s="3" t="str">
        <f t="shared" si="1"/>
        <v>vegetative</v>
      </c>
      <c r="E13" s="3">
        <v>12</v>
      </c>
      <c r="F13" s="3">
        <v>20</v>
      </c>
      <c r="G13" s="3">
        <v>75</v>
      </c>
      <c r="H13" s="3">
        <v>90</v>
      </c>
      <c r="I13" s="3" t="s">
        <v>30</v>
      </c>
      <c r="J13" s="3">
        <v>30</v>
      </c>
      <c r="K13" s="3"/>
      <c r="L13" s="3"/>
      <c r="M13" s="3"/>
      <c r="N13" s="3"/>
    </row>
    <row r="14" spans="2:14" ht="21" x14ac:dyDescent="0.5">
      <c r="B14" s="3" t="s">
        <v>39</v>
      </c>
      <c r="C14" s="3" t="str">
        <f t="shared" si="1"/>
        <v>11 April- 10 May</v>
      </c>
      <c r="D14" s="3" t="str">
        <f t="shared" si="1"/>
        <v xml:space="preserve">flowering </v>
      </c>
      <c r="E14" s="3">
        <v>15</v>
      </c>
      <c r="F14" s="3">
        <v>22</v>
      </c>
      <c r="G14" s="3">
        <v>80</v>
      </c>
      <c r="H14" s="3">
        <v>95</v>
      </c>
      <c r="I14" s="3" t="s">
        <v>11</v>
      </c>
      <c r="J14" s="3">
        <v>40</v>
      </c>
      <c r="K14" s="3"/>
    </row>
    <row r="15" spans="2:14" ht="21" x14ac:dyDescent="0.5">
      <c r="B15" s="3" t="s">
        <v>39</v>
      </c>
      <c r="C15" s="3" t="str">
        <f t="shared" si="1"/>
        <v>11 May- 15 Aug</v>
      </c>
      <c r="D15" s="3" t="str">
        <f t="shared" si="1"/>
        <v>Fruiting Stage</v>
      </c>
      <c r="E15" s="3">
        <v>18</v>
      </c>
      <c r="F15" s="3">
        <v>28</v>
      </c>
      <c r="G15" s="3">
        <v>85</v>
      </c>
      <c r="H15" s="3">
        <v>100</v>
      </c>
      <c r="I15" s="3" t="s">
        <v>31</v>
      </c>
      <c r="J15" s="3">
        <v>80</v>
      </c>
      <c r="K15" s="3"/>
    </row>
    <row r="16" spans="2:14" ht="21" x14ac:dyDescent="0.5">
      <c r="B16" s="3" t="s">
        <v>39</v>
      </c>
      <c r="C16" s="3" t="str">
        <f t="shared" si="1"/>
        <v>16 Aug-Nov</v>
      </c>
      <c r="D16" s="3" t="str">
        <f t="shared" si="1"/>
        <v>harvesting stage</v>
      </c>
      <c r="E16" s="3">
        <v>15</v>
      </c>
      <c r="F16" s="3">
        <v>25</v>
      </c>
      <c r="G16" s="3">
        <v>85</v>
      </c>
      <c r="H16" s="3">
        <v>100</v>
      </c>
      <c r="I16" s="3" t="s">
        <v>32</v>
      </c>
      <c r="J16" s="3">
        <v>70</v>
      </c>
      <c r="K16" s="3"/>
    </row>
    <row r="17" spans="2:12" ht="21" x14ac:dyDescent="0.5">
      <c r="B17" s="3" t="s">
        <v>26</v>
      </c>
      <c r="C17" s="3" t="str">
        <f t="shared" si="1"/>
        <v>March-10 April</v>
      </c>
      <c r="D17" s="3" t="str">
        <f t="shared" si="1"/>
        <v>vegetative</v>
      </c>
      <c r="E17" s="3">
        <v>10</v>
      </c>
      <c r="F17" s="3">
        <v>22</v>
      </c>
      <c r="G17" s="3">
        <v>60</v>
      </c>
      <c r="H17" s="3">
        <v>90</v>
      </c>
      <c r="I17" s="3" t="s">
        <v>33</v>
      </c>
      <c r="J17" s="3">
        <v>60</v>
      </c>
      <c r="K17" s="3"/>
    </row>
    <row r="18" spans="2:12" ht="21" x14ac:dyDescent="0.5">
      <c r="B18" s="3" t="s">
        <v>26</v>
      </c>
      <c r="C18" s="3" t="str">
        <f t="shared" si="1"/>
        <v>11 April- 10 May</v>
      </c>
      <c r="D18" s="3" t="str">
        <f t="shared" si="1"/>
        <v xml:space="preserve">flowering </v>
      </c>
      <c r="E18" s="3">
        <v>12</v>
      </c>
      <c r="F18" s="3">
        <v>25</v>
      </c>
      <c r="G18" s="3">
        <v>60</v>
      </c>
      <c r="H18" s="3">
        <v>90</v>
      </c>
      <c r="I18" s="3" t="s">
        <v>34</v>
      </c>
      <c r="J18" s="3">
        <v>75</v>
      </c>
      <c r="K18" s="3"/>
    </row>
    <row r="19" spans="2:12" ht="21" x14ac:dyDescent="0.5">
      <c r="B19" s="3" t="s">
        <v>26</v>
      </c>
      <c r="C19" s="3" t="str">
        <f t="shared" si="1"/>
        <v>11 May- 15 Aug</v>
      </c>
      <c r="D19" s="3" t="str">
        <f t="shared" si="1"/>
        <v>Fruiting Stage</v>
      </c>
      <c r="E19" s="3">
        <v>15</v>
      </c>
      <c r="F19" s="3">
        <v>18</v>
      </c>
      <c r="G19" s="3">
        <v>55</v>
      </c>
      <c r="H19" s="3">
        <v>85</v>
      </c>
      <c r="I19" s="3" t="s">
        <v>33</v>
      </c>
      <c r="J19" s="3">
        <v>65</v>
      </c>
      <c r="K19" s="3"/>
    </row>
    <row r="20" spans="2:12" ht="21" x14ac:dyDescent="0.5">
      <c r="B20" s="3" t="s">
        <v>26</v>
      </c>
      <c r="C20" s="3" t="str">
        <f t="shared" si="1"/>
        <v>16 Aug-Nov</v>
      </c>
      <c r="D20" s="3" t="str">
        <f t="shared" si="1"/>
        <v>harvesting stage</v>
      </c>
      <c r="E20" s="3">
        <v>10</v>
      </c>
      <c r="F20" s="3">
        <v>22</v>
      </c>
      <c r="G20" s="3">
        <v>60</v>
      </c>
      <c r="H20" s="3">
        <v>85</v>
      </c>
      <c r="I20" s="3" t="s">
        <v>33</v>
      </c>
      <c r="J20" s="3">
        <v>35</v>
      </c>
      <c r="K20" s="3"/>
    </row>
    <row r="21" spans="2:12" ht="21" x14ac:dyDescent="0.5">
      <c r="B21" s="3" t="s">
        <v>27</v>
      </c>
      <c r="C21" s="3" t="str">
        <f t="shared" si="1"/>
        <v>March-10 April</v>
      </c>
      <c r="D21" s="3" t="str">
        <f t="shared" si="1"/>
        <v>vegetative</v>
      </c>
      <c r="E21" s="3">
        <v>10</v>
      </c>
      <c r="F21" s="3">
        <v>20</v>
      </c>
      <c r="G21" s="3">
        <v>80</v>
      </c>
      <c r="H21" s="3">
        <v>100</v>
      </c>
      <c r="I21" s="3" t="s">
        <v>35</v>
      </c>
      <c r="J21" s="3">
        <v>40</v>
      </c>
      <c r="K21" s="3"/>
    </row>
    <row r="22" spans="2:12" ht="21" x14ac:dyDescent="0.5">
      <c r="B22" s="3" t="s">
        <v>27</v>
      </c>
      <c r="C22" s="3" t="str">
        <f t="shared" si="1"/>
        <v>11 April- 10 May</v>
      </c>
      <c r="D22" s="3" t="str">
        <f t="shared" si="1"/>
        <v xml:space="preserve">flowering </v>
      </c>
      <c r="E22" s="3">
        <v>12</v>
      </c>
      <c r="F22" s="3">
        <v>22</v>
      </c>
      <c r="G22" s="3">
        <v>80</v>
      </c>
      <c r="H22" s="3">
        <v>100</v>
      </c>
      <c r="I22" s="3" t="s">
        <v>35</v>
      </c>
      <c r="J22" s="3">
        <v>45</v>
      </c>
      <c r="K22" s="3"/>
    </row>
    <row r="23" spans="2:12" ht="21" x14ac:dyDescent="0.5">
      <c r="B23" s="3" t="s">
        <v>27</v>
      </c>
      <c r="C23" s="3" t="str">
        <f t="shared" si="1"/>
        <v>11 May- 15 Aug</v>
      </c>
      <c r="D23" s="3" t="str">
        <f t="shared" si="1"/>
        <v>Fruiting Stage</v>
      </c>
      <c r="E23" s="3">
        <v>15</v>
      </c>
      <c r="F23" s="3">
        <v>28</v>
      </c>
      <c r="G23" s="3">
        <v>85</v>
      </c>
      <c r="H23" s="3">
        <v>100</v>
      </c>
      <c r="I23" s="3" t="s">
        <v>36</v>
      </c>
      <c r="J23" s="3">
        <v>75</v>
      </c>
      <c r="K23" s="3"/>
      <c r="L23" s="3"/>
    </row>
    <row r="24" spans="2:12" ht="21" x14ac:dyDescent="0.5">
      <c r="B24" s="3" t="s">
        <v>27</v>
      </c>
      <c r="C24" s="3" t="str">
        <f t="shared" si="1"/>
        <v>16 Aug-Nov</v>
      </c>
      <c r="D24" s="3" t="str">
        <f t="shared" si="1"/>
        <v>harvesting stage</v>
      </c>
      <c r="E24" s="3">
        <v>10</v>
      </c>
      <c r="F24" s="3">
        <v>24</v>
      </c>
      <c r="G24" s="3">
        <v>80</v>
      </c>
      <c r="H24" s="3">
        <v>100</v>
      </c>
      <c r="I24" s="3" t="s">
        <v>35</v>
      </c>
      <c r="J24" s="3">
        <v>60</v>
      </c>
      <c r="K24" s="3"/>
      <c r="L24" s="3"/>
    </row>
    <row r="25" spans="2:12" ht="21" x14ac:dyDescent="0.5">
      <c r="B25" s="3" t="s">
        <v>28</v>
      </c>
      <c r="C25" s="3" t="str">
        <f t="shared" si="1"/>
        <v>March-10 April</v>
      </c>
      <c r="D25" s="3" t="str">
        <f t="shared" si="1"/>
        <v>vegetative</v>
      </c>
      <c r="E25" s="3">
        <v>10</v>
      </c>
      <c r="F25" s="3">
        <v>20</v>
      </c>
      <c r="G25" s="3">
        <v>80</v>
      </c>
      <c r="H25" s="3">
        <v>100</v>
      </c>
      <c r="I25" s="3" t="s">
        <v>35</v>
      </c>
      <c r="J25" s="3">
        <v>40</v>
      </c>
      <c r="K25" s="3"/>
      <c r="L25" s="3"/>
    </row>
    <row r="26" spans="2:12" ht="21" x14ac:dyDescent="0.5">
      <c r="B26" s="3" t="s">
        <v>28</v>
      </c>
      <c r="C26" s="3" t="str">
        <f t="shared" si="1"/>
        <v>11 April- 10 May</v>
      </c>
      <c r="D26" s="3" t="str">
        <f t="shared" si="1"/>
        <v xml:space="preserve">flowering </v>
      </c>
      <c r="E26" s="3">
        <v>12</v>
      </c>
      <c r="F26" s="3">
        <v>24</v>
      </c>
      <c r="G26" s="3">
        <v>80</v>
      </c>
      <c r="H26" s="3">
        <v>100</v>
      </c>
      <c r="I26" s="3" t="s">
        <v>35</v>
      </c>
      <c r="J26" s="3">
        <v>45</v>
      </c>
      <c r="K26" s="3"/>
      <c r="L26" s="3"/>
    </row>
    <row r="27" spans="2:12" ht="21" x14ac:dyDescent="0.5">
      <c r="B27" s="3" t="s">
        <v>28</v>
      </c>
      <c r="C27" s="3" t="str">
        <f t="shared" si="1"/>
        <v>11 May- 15 Aug</v>
      </c>
      <c r="D27" s="3" t="str">
        <f t="shared" si="1"/>
        <v>Fruiting Stage</v>
      </c>
      <c r="E27" s="3">
        <v>15</v>
      </c>
      <c r="F27" s="3">
        <v>28</v>
      </c>
      <c r="G27" s="3">
        <v>85</v>
      </c>
      <c r="H27" s="3">
        <v>100</v>
      </c>
      <c r="I27" s="3" t="s">
        <v>37</v>
      </c>
      <c r="J27" s="3">
        <v>75</v>
      </c>
      <c r="K27" s="3"/>
      <c r="L27" s="3"/>
    </row>
    <row r="28" spans="2:12" ht="21" x14ac:dyDescent="0.5">
      <c r="B28" s="3" t="s">
        <v>28</v>
      </c>
      <c r="C28" s="3" t="str">
        <f t="shared" si="1"/>
        <v>16 Aug-Nov</v>
      </c>
      <c r="D28" s="3" t="str">
        <f t="shared" si="1"/>
        <v>harvesting stage</v>
      </c>
      <c r="E28" s="3">
        <v>10</v>
      </c>
      <c r="F28" s="3">
        <v>24</v>
      </c>
      <c r="G28" s="3">
        <v>80</v>
      </c>
      <c r="H28" s="3">
        <v>100</v>
      </c>
      <c r="I28" s="3" t="s">
        <v>36</v>
      </c>
      <c r="J28" s="3">
        <v>60</v>
      </c>
      <c r="K28" s="3"/>
      <c r="L28" s="3"/>
    </row>
    <row r="29" spans="2:12" ht="21" x14ac:dyDescent="0.5">
      <c r="B29" s="3" t="s">
        <v>29</v>
      </c>
      <c r="C29" s="3" t="str">
        <f t="shared" si="1"/>
        <v>March-10 April</v>
      </c>
      <c r="D29" s="3" t="str">
        <f t="shared" si="1"/>
        <v>vegetative</v>
      </c>
      <c r="E29" s="3">
        <v>10</v>
      </c>
      <c r="F29" s="3">
        <v>20</v>
      </c>
      <c r="G29" s="3">
        <v>75</v>
      </c>
      <c r="H29" s="3">
        <v>90</v>
      </c>
      <c r="I29" s="3" t="s">
        <v>11</v>
      </c>
      <c r="J29" s="3">
        <v>25</v>
      </c>
      <c r="K29" s="3"/>
      <c r="L29" s="3"/>
    </row>
    <row r="30" spans="2:12" ht="21" x14ac:dyDescent="0.5">
      <c r="B30" s="3" t="s">
        <v>29</v>
      </c>
      <c r="C30" s="3" t="str">
        <f t="shared" si="1"/>
        <v>11 April- 10 May</v>
      </c>
      <c r="D30" s="3" t="str">
        <f t="shared" si="1"/>
        <v xml:space="preserve">flowering </v>
      </c>
      <c r="E30" s="3">
        <v>12</v>
      </c>
      <c r="F30" s="3">
        <v>24</v>
      </c>
      <c r="G30" s="3">
        <v>80</v>
      </c>
      <c r="H30" s="3">
        <v>95</v>
      </c>
      <c r="I30" s="3" t="s">
        <v>13</v>
      </c>
      <c r="J30" s="3">
        <v>35</v>
      </c>
      <c r="K30" s="3"/>
      <c r="L30" s="3"/>
    </row>
    <row r="31" spans="2:12" ht="21" x14ac:dyDescent="0.5">
      <c r="B31" s="3" t="s">
        <v>29</v>
      </c>
      <c r="C31" s="3" t="str">
        <f t="shared" si="1"/>
        <v>11 May- 15 Aug</v>
      </c>
      <c r="D31" s="3" t="str">
        <f t="shared" si="1"/>
        <v>Fruiting Stage</v>
      </c>
      <c r="E31" s="3">
        <v>18</v>
      </c>
      <c r="F31" s="3">
        <v>28</v>
      </c>
      <c r="G31" s="3">
        <v>85</v>
      </c>
      <c r="H31" s="3">
        <v>100</v>
      </c>
      <c r="I31" s="4" t="s">
        <v>38</v>
      </c>
      <c r="J31" s="3">
        <v>75</v>
      </c>
      <c r="K31" s="3"/>
      <c r="L31" s="3"/>
    </row>
    <row r="32" spans="2:12" ht="21" x14ac:dyDescent="0.5">
      <c r="B32" s="3" t="s">
        <v>29</v>
      </c>
      <c r="C32" s="3" t="str">
        <f t="shared" ref="C32:D32" si="2">C28</f>
        <v>16 Aug-Nov</v>
      </c>
      <c r="D32" s="3" t="str">
        <f t="shared" si="2"/>
        <v>harvesting stage</v>
      </c>
      <c r="E32" s="3">
        <v>15</v>
      </c>
      <c r="F32" s="3">
        <v>25</v>
      </c>
      <c r="G32" s="3">
        <v>85</v>
      </c>
      <c r="H32" s="3">
        <v>100</v>
      </c>
      <c r="I32" s="4" t="s">
        <v>38</v>
      </c>
      <c r="J32" s="3">
        <v>80</v>
      </c>
      <c r="K32" s="3"/>
      <c r="L32" s="3"/>
    </row>
    <row r="33" spans="2:12" ht="21" x14ac:dyDescent="0.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ht="21" x14ac:dyDescent="0.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ht="21" x14ac:dyDescent="0.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ht="21" x14ac:dyDescent="0.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ht="21" x14ac:dyDescent="0.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ht="21" x14ac:dyDescent="0.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ht="21" x14ac:dyDescent="0.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ht="21" x14ac:dyDescent="0.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21" x14ac:dyDescent="0.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ht="21" x14ac:dyDescent="0.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ht="21" x14ac:dyDescent="0.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ht="21" x14ac:dyDescent="0.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ht="21" x14ac:dyDescent="0.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ht="21" x14ac:dyDescent="0.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ht="21" x14ac:dyDescent="0.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ht="21" x14ac:dyDescent="0.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ht="21" x14ac:dyDescent="0.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ht="21" x14ac:dyDescent="0.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2" ht="21" x14ac:dyDescent="0.5"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2:12" ht="21" x14ac:dyDescent="0.5">
      <c r="B52" s="3"/>
      <c r="C52" s="3"/>
      <c r="D52" s="3"/>
      <c r="E52" s="3"/>
      <c r="F52" s="3"/>
      <c r="G52" s="3"/>
      <c r="H52" s="3"/>
      <c r="I52" s="3"/>
      <c r="J52" s="3"/>
      <c r="K52" s="3"/>
    </row>
  </sheetData>
  <mergeCells count="2">
    <mergeCell ref="G3:H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ayush singh</cp:lastModifiedBy>
  <dcterms:created xsi:type="dcterms:W3CDTF">2015-06-05T18:17:20Z</dcterms:created>
  <dcterms:modified xsi:type="dcterms:W3CDTF">2026-04-30T14:57:09Z</dcterms:modified>
</cp:coreProperties>
</file>